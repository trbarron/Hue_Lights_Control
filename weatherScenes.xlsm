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Rb\Google Drive\Projects\HueLights20\actual_dev\"/>
    </mc:Choice>
  </mc:AlternateContent>
  <xr:revisionPtr revIDLastSave="0" documentId="13_ncr:1_{6C851195-B9AE-4916-B989-7B8885C415C1}" xr6:coauthVersionLast="43" xr6:coauthVersionMax="43" xr10:uidLastSave="{00000000-0000-0000-0000-000000000000}"/>
  <bookViews>
    <workbookView xWindow="-98" yWindow="-98" windowWidth="24196" windowHeight="13096" xr2:uid="{00000000-000D-0000-FFFF-FFFF00000000}"/>
  </bookViews>
  <sheets>
    <sheet name="weatherScenesV2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97" i="1" l="1"/>
  <c r="H96" i="1"/>
  <c r="H95" i="1"/>
  <c r="H94" i="1"/>
  <c r="I92" i="1"/>
  <c r="C97" i="1"/>
  <c r="C96" i="1"/>
  <c r="C95" i="1"/>
  <c r="C94" i="1"/>
  <c r="E94" i="1"/>
  <c r="E95" i="1" s="1"/>
  <c r="E96" i="1" s="1"/>
  <c r="E97" i="1" s="1"/>
  <c r="D94" i="1"/>
  <c r="D95" i="1" s="1"/>
  <c r="D96" i="1" s="1"/>
  <c r="D97" i="1" s="1"/>
  <c r="I94" i="1"/>
  <c r="I95" i="1" s="1"/>
  <c r="I96" i="1" s="1"/>
  <c r="I97" i="1" s="1"/>
  <c r="L93" i="1"/>
  <c r="L94" i="1" s="1"/>
  <c r="M96" i="1"/>
  <c r="M97" i="1" s="1"/>
  <c r="L96" i="1"/>
  <c r="L97" i="1" s="1"/>
  <c r="K96" i="1"/>
  <c r="K97" i="1" s="1"/>
  <c r="M93" i="1"/>
  <c r="M94" i="1" s="1"/>
  <c r="K93" i="1"/>
  <c r="K94" i="1" s="1"/>
  <c r="A97" i="1"/>
  <c r="A96" i="1"/>
  <c r="A95" i="1"/>
  <c r="A94" i="1"/>
  <c r="AO91" i="1" l="1"/>
  <c r="AM91" i="1"/>
  <c r="AG91" i="1"/>
  <c r="AE91" i="1"/>
  <c r="AC91" i="1"/>
  <c r="AA91" i="1"/>
  <c r="Y91" i="1"/>
  <c r="X91" i="1"/>
  <c r="W91" i="1"/>
  <c r="U91" i="1"/>
  <c r="T91" i="1"/>
  <c r="S91" i="1"/>
  <c r="Q91" i="1"/>
  <c r="P91" i="1"/>
  <c r="O91" i="1"/>
  <c r="AO89" i="1"/>
  <c r="AM89" i="1"/>
  <c r="AG89" i="1"/>
  <c r="AE89" i="1"/>
  <c r="AC89" i="1"/>
  <c r="AA89" i="1"/>
  <c r="Y89" i="1"/>
  <c r="X89" i="1"/>
  <c r="W89" i="1"/>
  <c r="U89" i="1"/>
  <c r="T89" i="1"/>
  <c r="S89" i="1"/>
  <c r="Q89" i="1"/>
  <c r="P89" i="1"/>
  <c r="O89" i="1"/>
  <c r="M89" i="1"/>
  <c r="I89" i="1"/>
  <c r="E89" i="1"/>
  <c r="AO87" i="1"/>
  <c r="AM87" i="1"/>
  <c r="AG87" i="1"/>
  <c r="AE87" i="1"/>
  <c r="AC87" i="1"/>
  <c r="AA87" i="1"/>
  <c r="Y87" i="1"/>
  <c r="X87" i="1"/>
  <c r="W87" i="1"/>
  <c r="U87" i="1"/>
  <c r="T87" i="1"/>
  <c r="S87" i="1"/>
  <c r="Q87" i="1"/>
  <c r="P87" i="1"/>
  <c r="O87" i="1"/>
  <c r="AO85" i="1"/>
  <c r="AM85" i="1"/>
  <c r="AG85" i="1"/>
  <c r="AE85" i="1"/>
  <c r="AC85" i="1"/>
  <c r="AA85" i="1"/>
  <c r="Y85" i="1"/>
  <c r="X85" i="1"/>
  <c r="W85" i="1"/>
  <c r="U85" i="1"/>
  <c r="T85" i="1"/>
  <c r="S85" i="1"/>
  <c r="Q85" i="1"/>
  <c r="P85" i="1"/>
  <c r="O85" i="1"/>
  <c r="M85" i="1"/>
  <c r="L85" i="1"/>
  <c r="K85" i="1"/>
  <c r="I85" i="1"/>
  <c r="H85" i="1"/>
  <c r="G85" i="1"/>
  <c r="E85" i="1"/>
  <c r="D85" i="1"/>
  <c r="C85" i="1"/>
  <c r="AO83" i="1"/>
  <c r="AM83" i="1"/>
  <c r="AG83" i="1"/>
  <c r="AE83" i="1"/>
  <c r="AC83" i="1"/>
  <c r="AA83" i="1"/>
  <c r="Y83" i="1"/>
  <c r="X83" i="1"/>
  <c r="W83" i="1"/>
  <c r="U83" i="1"/>
  <c r="AO81" i="1"/>
  <c r="AM81" i="1"/>
  <c r="AG81" i="1"/>
  <c r="AE81" i="1"/>
  <c r="AC81" i="1"/>
  <c r="AA81" i="1"/>
  <c r="Y81" i="1"/>
  <c r="X81" i="1"/>
  <c r="W81" i="1"/>
  <c r="AO79" i="1"/>
  <c r="AM79" i="1"/>
  <c r="AG79" i="1"/>
  <c r="AE79" i="1"/>
  <c r="AC79" i="1"/>
  <c r="AA79" i="1"/>
  <c r="Y79" i="1"/>
  <c r="X79" i="1"/>
  <c r="W79" i="1"/>
  <c r="U79" i="1"/>
  <c r="T79" i="1"/>
  <c r="S79" i="1"/>
  <c r="Q79" i="1"/>
  <c r="P79" i="1"/>
  <c r="O79" i="1"/>
  <c r="M79" i="1"/>
  <c r="L79" i="1"/>
  <c r="K79" i="1"/>
  <c r="I79" i="1"/>
  <c r="H79" i="1"/>
  <c r="G79" i="1"/>
  <c r="E79" i="1"/>
  <c r="D79" i="1"/>
  <c r="C79" i="1"/>
  <c r="A93" i="1" l="1"/>
  <c r="A91" i="1"/>
  <c r="A89" i="1"/>
  <c r="A87" i="1"/>
  <c r="A85" i="1"/>
  <c r="A83" i="1"/>
  <c r="A81" i="1"/>
  <c r="A79" i="1"/>
  <c r="AO1" i="1" l="1"/>
  <c r="AM1" i="1"/>
  <c r="AA1" i="1" l="1"/>
  <c r="Y1" i="1" l="1"/>
  <c r="X1" i="1"/>
  <c r="W1" i="1"/>
  <c r="A80" i="1"/>
  <c r="A82" i="1" s="1"/>
  <c r="AG1" i="1"/>
  <c r="AE1" i="1"/>
  <c r="AC1" i="1"/>
  <c r="U1" i="1"/>
  <c r="T1" i="1"/>
  <c r="S1" i="1"/>
  <c r="Q1" i="1"/>
  <c r="P1" i="1"/>
  <c r="O1" i="1"/>
  <c r="M1" i="1"/>
  <c r="L1" i="1"/>
  <c r="K1" i="1"/>
  <c r="I1" i="1"/>
  <c r="H1" i="1"/>
  <c r="G1" i="1"/>
  <c r="E1" i="1"/>
  <c r="D1" i="1"/>
  <c r="C1" i="1"/>
  <c r="A1" i="1"/>
  <c r="B1" i="1"/>
  <c r="A84" i="1" l="1"/>
  <c r="A86" i="1" l="1"/>
  <c r="A88" i="1" s="1"/>
  <c r="A90" i="1" s="1"/>
  <c r="A92" i="1" s="1"/>
  <c r="G93" i="1"/>
  <c r="G94" i="1"/>
  <c r="G95" i="1" s="1"/>
  <c r="G96" i="1" s="1"/>
  <c r="G97" i="1" s="1"/>
  <c r="H93" i="1"/>
</calcChain>
</file>

<file path=xl/sharedStrings.xml><?xml version="1.0" encoding="utf-8"?>
<sst xmlns="http://schemas.openxmlformats.org/spreadsheetml/2006/main" count="133" uniqueCount="100">
  <si>
    <t>Description</t>
  </si>
  <si>
    <t>thunderstorm with light rain</t>
  </si>
  <si>
    <t>thunderstorm with rain</t>
  </si>
  <si>
    <t>thunderstorm with heavy rain</t>
  </si>
  <si>
    <t>light thunderstorm</t>
  </si>
  <si>
    <t>thunderstorm</t>
  </si>
  <si>
    <t>heavy thunderstorm</t>
  </si>
  <si>
    <t>ragged thunderstorm</t>
  </si>
  <si>
    <t>thunderstorm with light drizzle</t>
  </si>
  <si>
    <t>thunderstorm with drizzle</t>
  </si>
  <si>
    <t>thunderstorm with heavy drizzle</t>
  </si>
  <si>
    <t>light intensity drizzle</t>
  </si>
  <si>
    <t>drizzle</t>
  </si>
  <si>
    <t>heavy intensity drizzle</t>
  </si>
  <si>
    <t>light intensity drizzle rain</t>
  </si>
  <si>
    <t>drizzle rain</t>
  </si>
  <si>
    <t>heavy intensity drizzle rain</t>
  </si>
  <si>
    <t>shower rain and drizzle</t>
  </si>
  <si>
    <t>heavy shower rain and drizzle</t>
  </si>
  <si>
    <t>shower drizzle</t>
  </si>
  <si>
    <t>light rain</t>
  </si>
  <si>
    <t>moderate rain</t>
  </si>
  <si>
    <t>heavy intensity rain</t>
  </si>
  <si>
    <t>very heavy rain</t>
  </si>
  <si>
    <t>extreme rain</t>
  </si>
  <si>
    <t>freezing rain</t>
  </si>
  <si>
    <t>light intensity shower rain</t>
  </si>
  <si>
    <t>shower rain</t>
  </si>
  <si>
    <t>heavy intensity shower rain</t>
  </si>
  <si>
    <t>ragged shower rain</t>
  </si>
  <si>
    <t>light snow</t>
  </si>
  <si>
    <t>snow</t>
  </si>
  <si>
    <t>heavy snow</t>
  </si>
  <si>
    <t>sleet</t>
  </si>
  <si>
    <t>shower sleet</t>
  </si>
  <si>
    <t>light rain and snow</t>
  </si>
  <si>
    <t>rain and snow</t>
  </si>
  <si>
    <t>light shower snow</t>
  </si>
  <si>
    <t>shower snow</t>
  </si>
  <si>
    <t>heavy shower snow</t>
  </si>
  <si>
    <t>mist</t>
  </si>
  <si>
    <t>smoke</t>
  </si>
  <si>
    <t>haze</t>
  </si>
  <si>
    <t>sand, dust whirls</t>
  </si>
  <si>
    <t>fog</t>
  </si>
  <si>
    <t>sand</t>
  </si>
  <si>
    <t>dust</t>
  </si>
  <si>
    <t>volcanic ash</t>
  </si>
  <si>
    <t>squalls</t>
  </si>
  <si>
    <t>tornado</t>
  </si>
  <si>
    <t>clear sky</t>
  </si>
  <si>
    <t>few clouds</t>
  </si>
  <si>
    <t>scattered clouds</t>
  </si>
  <si>
    <t>broken clouds</t>
  </si>
  <si>
    <t>overcast clouds</t>
  </si>
  <si>
    <t>tropical storm</t>
  </si>
  <si>
    <t>hurricane</t>
  </si>
  <si>
    <t>cold</t>
  </si>
  <si>
    <t>hot</t>
  </si>
  <si>
    <t>windy</t>
  </si>
  <si>
    <t>hail</t>
  </si>
  <si>
    <t>calm</t>
  </si>
  <si>
    <t>light breeze</t>
  </si>
  <si>
    <t>gentle breeze</t>
  </si>
  <si>
    <t>moderate breeze</t>
  </si>
  <si>
    <t>fresh breeze</t>
  </si>
  <si>
    <t>strong breeze</t>
  </si>
  <si>
    <t>high wind, near gale</t>
  </si>
  <si>
    <t>gale</t>
  </si>
  <si>
    <t>severe gale</t>
  </si>
  <si>
    <t>storm</t>
  </si>
  <si>
    <t>violent storm</t>
  </si>
  <si>
    <t>R</t>
  </si>
  <si>
    <t>G</t>
  </si>
  <si>
    <t>B</t>
  </si>
  <si>
    <t>living room 1</t>
  </si>
  <si>
    <t>living room 2</t>
  </si>
  <si>
    <t>entryway 1</t>
  </si>
  <si>
    <t>bedroom 1</t>
  </si>
  <si>
    <t>bedroom 2</t>
  </si>
  <si>
    <t>bri</t>
  </si>
  <si>
    <t>bathroom 2</t>
  </si>
  <si>
    <t>bathroom 3</t>
  </si>
  <si>
    <t>bathroom 4</t>
  </si>
  <si>
    <t>id</t>
  </si>
  <si>
    <t>yoga</t>
  </si>
  <si>
    <t>more tea</t>
  </si>
  <si>
    <t>so much more tea</t>
  </si>
  <si>
    <t>coffee?</t>
  </si>
  <si>
    <t>living room 3</t>
  </si>
  <si>
    <t>lightpack</t>
  </si>
  <si>
    <t>spacer</t>
  </si>
  <si>
    <t>bathroom 1</t>
  </si>
  <si>
    <t>dressing room</t>
  </si>
  <si>
    <t>brightest</t>
  </si>
  <si>
    <t>brighter</t>
  </si>
  <si>
    <t>bright</t>
  </si>
  <si>
    <t>dim</t>
  </si>
  <si>
    <t>coffee?2</t>
  </si>
  <si>
    <t>transition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</si>
</sst>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832C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0FA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C8C8C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337CC"/>
        <bgColor indexed="64"/>
      </patternFill>
    </fill>
    <fill>
      <patternFill patternType="solid">
        <fgColor rgb="FFD2F0DC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B464C8"/>
        <bgColor indexed="64"/>
      </patternFill>
    </fill>
    <fill>
      <patternFill patternType="solid">
        <fgColor rgb="FFA064C8"/>
        <bgColor indexed="64"/>
      </patternFill>
    </fill>
    <fill>
      <patternFill patternType="solid">
        <fgColor rgb="FFC864C8"/>
        <bgColor indexed="64"/>
      </patternFill>
    </fill>
    <fill>
      <patternFill patternType="solid">
        <fgColor rgb="FFA064A0"/>
        <bgColor indexed="64"/>
      </patternFill>
    </fill>
    <fill>
      <patternFill patternType="solid">
        <fgColor rgb="FFE696FA"/>
        <bgColor indexed="64"/>
      </patternFill>
    </fill>
    <fill>
      <patternFill patternType="solid">
        <fgColor rgb="FFFA96FA"/>
        <bgColor indexed="64"/>
      </patternFill>
    </fill>
    <fill>
      <patternFill patternType="solid">
        <fgColor rgb="FFD296D2"/>
        <bgColor indexed="64"/>
      </patternFill>
    </fill>
    <fill>
      <patternFill patternType="solid">
        <fgColor rgb="FFFA96C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EEF57"/>
        <bgColor indexed="64"/>
      </patternFill>
    </fill>
    <fill>
      <patternFill patternType="solid">
        <fgColor rgb="FF96FEFE"/>
        <bgColor indexed="64"/>
      </patternFill>
    </fill>
    <fill>
      <patternFill patternType="solid">
        <fgColor rgb="FF00BCFE"/>
        <bgColor indexed="64"/>
      </patternFill>
    </fill>
    <fill>
      <patternFill patternType="solid">
        <fgColor rgb="FFFE9696"/>
        <bgColor indexed="64"/>
      </patternFill>
    </fill>
    <fill>
      <patternFill patternType="solid">
        <fgColor rgb="FFFE3232"/>
        <bgColor indexed="64"/>
      </patternFill>
    </fill>
    <fill>
      <patternFill patternType="solid">
        <fgColor rgb="FF28FE28"/>
        <bgColor indexed="64"/>
      </patternFill>
    </fill>
    <fill>
      <patternFill patternType="solid">
        <fgColor rgb="FFFE2828"/>
        <bgColor indexed="64"/>
      </patternFill>
    </fill>
    <fill>
      <patternFill patternType="solid">
        <fgColor rgb="FFFE9933"/>
        <bgColor indexed="64"/>
      </patternFill>
    </fill>
    <fill>
      <patternFill patternType="solid">
        <fgColor rgb="FF2828FE"/>
        <bgColor indexed="64"/>
      </patternFill>
    </fill>
    <fill>
      <patternFill patternType="solid">
        <fgColor rgb="FF3232FE"/>
        <bgColor indexed="64"/>
      </patternFill>
    </fill>
    <fill>
      <patternFill patternType="solid">
        <fgColor rgb="FF3C3CFE"/>
        <bgColor indexed="64"/>
      </patternFill>
    </fill>
    <fill>
      <patternFill patternType="solid">
        <fgColor rgb="FFDCFEFE"/>
        <bgColor indexed="64"/>
      </patternFill>
    </fill>
    <fill>
      <patternFill patternType="solid">
        <fgColor rgb="FFFE8CD2"/>
        <bgColor indexed="64"/>
      </patternFill>
    </fill>
    <fill>
      <patternFill patternType="solid">
        <fgColor rgb="FFFE96D2"/>
        <bgColor indexed="64"/>
      </patternFill>
    </fill>
    <fill>
      <patternFill patternType="solid">
        <fgColor rgb="FFFE8CC8"/>
        <bgColor indexed="64"/>
      </patternFill>
    </fill>
    <fill>
      <patternFill patternType="solid">
        <fgColor rgb="FFB4D2FE"/>
        <bgColor indexed="64"/>
      </patternFill>
    </fill>
    <fill>
      <patternFill patternType="solid">
        <fgColor rgb="FF96FE96"/>
        <bgColor indexed="64"/>
      </patternFill>
    </fill>
    <fill>
      <patternFill patternType="solid">
        <fgColor rgb="FF32FE32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AC8FE"/>
        <bgColor indexed="64"/>
      </patternFill>
    </fill>
    <fill>
      <patternFill patternType="solid">
        <fgColor rgb="FF66FEFE"/>
        <bgColor indexed="64"/>
      </patternFill>
    </fill>
    <fill>
      <patternFill patternType="solid">
        <fgColor rgb="FFFEF0F0"/>
        <bgColor indexed="64"/>
      </patternFill>
    </fill>
    <fill>
      <patternFill patternType="solid">
        <fgColor rgb="FFFEC14E"/>
        <bgColor indexed="64"/>
      </patternFill>
    </fill>
    <fill>
      <patternFill patternType="solid">
        <fgColor rgb="FFFEFE50"/>
        <bgColor indexed="64"/>
      </patternFill>
    </fill>
    <fill>
      <patternFill patternType="solid">
        <fgColor rgb="FFF0FEFE"/>
        <bgColor indexed="64"/>
      </patternFill>
    </fill>
    <fill>
      <patternFill patternType="solid">
        <fgColor rgb="FF64461E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66432"/>
        <bgColor indexed="64"/>
      </patternFill>
    </fill>
    <fill>
      <patternFill patternType="solid">
        <fgColor rgb="FF993C3C"/>
        <bgColor indexed="64"/>
      </patternFill>
    </fill>
    <fill>
      <patternFill patternType="solid">
        <fgColor rgb="FF327878"/>
        <bgColor indexed="64"/>
      </patternFill>
    </fill>
    <fill>
      <patternFill patternType="solid">
        <fgColor rgb="FF0A3C3C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6464FE"/>
        <bgColor indexed="64"/>
      </patternFill>
    </fill>
    <fill>
      <patternFill patternType="solid">
        <fgColor rgb="FF803C28"/>
        <bgColor indexed="64"/>
      </patternFill>
    </fill>
    <fill>
      <patternFill patternType="solid">
        <fgColor rgb="FF468C78"/>
        <bgColor indexed="64"/>
      </patternFill>
    </fill>
    <fill>
      <patternFill patternType="solid">
        <fgColor rgb="FF1E5A3C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AAA91"/>
        <bgColor indexed="64"/>
      </patternFill>
    </fill>
    <fill>
      <patternFill patternType="solid">
        <fgColor rgb="FF46A0FA"/>
        <bgColor indexed="64"/>
      </patternFill>
    </fill>
    <fill>
      <patternFill patternType="solid">
        <fgColor rgb="FF4678FA"/>
        <bgColor indexed="64"/>
      </patternFill>
    </fill>
    <fill>
      <patternFill patternType="solid">
        <fgColor rgb="FFB4DCFA"/>
        <bgColor indexed="64"/>
      </patternFill>
    </fill>
    <fill>
      <patternFill patternType="solid">
        <fgColor rgb="FFA0A0FA"/>
        <bgColor indexed="64"/>
      </patternFill>
    </fill>
    <fill>
      <patternFill patternType="solid">
        <fgColor rgb="FF6EA0FA"/>
        <bgColor indexed="64"/>
      </patternFill>
    </fill>
    <fill>
      <patternFill patternType="solid">
        <fgColor rgb="FF96AAFA"/>
        <bgColor indexed="64"/>
      </patternFill>
    </fill>
    <fill>
      <patternFill patternType="solid">
        <fgColor rgb="FFDC5050"/>
        <bgColor indexed="64"/>
      </patternFill>
    </fill>
    <fill>
      <patternFill patternType="solid">
        <fgColor rgb="FF504B4B"/>
        <bgColor indexed="64"/>
      </patternFill>
    </fill>
    <fill>
      <patternFill patternType="solid">
        <fgColor rgb="FF64504B"/>
        <bgColor indexed="64"/>
      </patternFill>
    </fill>
    <fill>
      <patternFill patternType="solid">
        <fgColor rgb="FFC89696"/>
        <bgColor indexed="64"/>
      </patternFill>
    </fill>
    <fill>
      <patternFill patternType="solid">
        <fgColor rgb="FFFE9A8C"/>
        <bgColor indexed="64"/>
      </patternFill>
    </fill>
    <fill>
      <patternFill patternType="solid">
        <fgColor rgb="FFF6EEDA"/>
        <bgColor indexed="64"/>
      </patternFill>
    </fill>
    <fill>
      <patternFill patternType="solid">
        <fgColor rgb="FFF5E0DA"/>
        <bgColor indexed="64"/>
      </patternFill>
    </fill>
    <fill>
      <patternFill patternType="solid">
        <fgColor rgb="FFFE8CA1"/>
        <bgColor indexed="64"/>
      </patternFill>
    </fill>
    <fill>
      <patternFill patternType="solid">
        <fgColor rgb="FFFEA58C"/>
        <bgColor indexed="64"/>
      </patternFill>
    </fill>
    <fill>
      <patternFill patternType="solid">
        <fgColor rgb="FFFEBC8C"/>
        <bgColor indexed="64"/>
      </patternFill>
    </fill>
    <fill>
      <patternFill patternType="solid">
        <fgColor rgb="FF8A461E"/>
        <bgColor indexed="64"/>
      </patternFill>
    </fill>
    <fill>
      <patternFill patternType="solid">
        <fgColor rgb="FF945014"/>
        <bgColor indexed="64"/>
      </patternFill>
    </fill>
    <fill>
      <patternFill patternType="solid">
        <fgColor rgb="FF8A4B1E"/>
        <bgColor indexed="64"/>
      </patternFill>
    </fill>
    <fill>
      <patternFill patternType="solid">
        <fgColor rgb="FF945A14"/>
        <bgColor indexed="64"/>
      </patternFill>
    </fill>
    <fill>
      <patternFill patternType="solid">
        <fgColor rgb="FFFEBC32"/>
        <bgColor indexed="64"/>
      </patternFill>
    </fill>
    <fill>
      <patternFill patternType="solid">
        <fgColor rgb="FFF4A829"/>
        <bgColor indexed="64"/>
      </patternFill>
    </fill>
    <fill>
      <patternFill patternType="solid">
        <fgColor rgb="FFEAA829"/>
        <bgColor indexed="64"/>
      </patternFill>
    </fill>
    <fill>
      <patternFill patternType="solid">
        <fgColor rgb="FFE0B21F"/>
        <bgColor indexed="64"/>
      </patternFill>
    </fill>
    <fill>
      <patternFill patternType="solid">
        <fgColor rgb="FFD6BC15"/>
        <bgColor indexed="64"/>
      </patternFill>
    </fill>
    <fill>
      <patternFill patternType="solid">
        <fgColor rgb="FFA67680"/>
        <bgColor indexed="64"/>
      </patternFill>
    </fill>
    <fill>
      <patternFill patternType="solid">
        <fgColor rgb="FFB5808A"/>
        <bgColor indexed="64"/>
      </patternFill>
    </fill>
    <fill>
      <patternFill patternType="solid">
        <fgColor rgb="FFC48A80"/>
        <bgColor indexed="64"/>
      </patternFill>
    </fill>
    <fill>
      <patternFill patternType="solid">
        <fgColor rgb="FFD38080"/>
        <bgColor indexed="64"/>
      </patternFill>
    </fill>
    <fill>
      <patternFill patternType="solid">
        <fgColor rgb="FFC47676"/>
        <bgColor indexed="64"/>
      </patternFill>
    </fill>
    <fill>
      <patternFill patternType="solid">
        <fgColor rgb="FFB5856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9">
    <xf numFmtId="0" fontId="0" fillId="0" borderId="0" xfId="0"/>
    <xf numFmtId="0" fontId="20" fillId="0" borderId="0" xfId="0" applyFont="1"/>
    <xf numFmtId="0" fontId="18" fillId="39" borderId="0" xfId="0" applyFont="1" applyFill="1"/>
    <xf numFmtId="0" fontId="18" fillId="34" borderId="0" xfId="0" applyFont="1" applyFill="1"/>
    <xf numFmtId="0" fontId="19" fillId="35" borderId="0" xfId="0" applyFont="1" applyFill="1"/>
    <xf numFmtId="0" fontId="19" fillId="45" borderId="0" xfId="0" applyFont="1" applyFill="1"/>
    <xf numFmtId="0" fontId="18" fillId="44" borderId="0" xfId="0" applyFont="1" applyFill="1"/>
    <xf numFmtId="0" fontId="18" fillId="42" borderId="0" xfId="0" applyFont="1" applyFill="1"/>
    <xf numFmtId="0" fontId="18" fillId="43" borderId="0" xfId="0" applyFont="1" applyFill="1"/>
    <xf numFmtId="0" fontId="20" fillId="0" borderId="10" xfId="0" applyFont="1" applyBorder="1"/>
    <xf numFmtId="0" fontId="20" fillId="0" borderId="11" xfId="0" applyFont="1" applyBorder="1"/>
    <xf numFmtId="0" fontId="20" fillId="0" borderId="12" xfId="0" applyFont="1" applyBorder="1"/>
    <xf numFmtId="0" fontId="18" fillId="39" borderId="13" xfId="0" applyFont="1" applyFill="1" applyBorder="1"/>
    <xf numFmtId="0" fontId="18" fillId="39" borderId="14" xfId="0" applyFont="1" applyFill="1" applyBorder="1"/>
    <xf numFmtId="0" fontId="18" fillId="34" borderId="13" xfId="0" applyFont="1" applyFill="1" applyBorder="1"/>
    <xf numFmtId="0" fontId="18" fillId="34" borderId="14" xfId="0" applyFont="1" applyFill="1" applyBorder="1"/>
    <xf numFmtId="0" fontId="19" fillId="35" borderId="13" xfId="0" applyFont="1" applyFill="1" applyBorder="1"/>
    <xf numFmtId="0" fontId="19" fillId="35" borderId="14" xfId="0" applyFont="1" applyFill="1" applyBorder="1"/>
    <xf numFmtId="0" fontId="19" fillId="45" borderId="13" xfId="0" applyFont="1" applyFill="1" applyBorder="1"/>
    <xf numFmtId="0" fontId="19" fillId="45" borderId="14" xfId="0" applyFont="1" applyFill="1" applyBorder="1"/>
    <xf numFmtId="0" fontId="18" fillId="44" borderId="13" xfId="0" applyFont="1" applyFill="1" applyBorder="1"/>
    <xf numFmtId="0" fontId="18" fillId="44" borderId="14" xfId="0" applyFont="1" applyFill="1" applyBorder="1"/>
    <xf numFmtId="0" fontId="18" fillId="42" borderId="13" xfId="0" applyFont="1" applyFill="1" applyBorder="1"/>
    <xf numFmtId="0" fontId="18" fillId="42" borderId="14" xfId="0" applyFont="1" applyFill="1" applyBorder="1"/>
    <xf numFmtId="0" fontId="18" fillId="43" borderId="13" xfId="0" applyFont="1" applyFill="1" applyBorder="1"/>
    <xf numFmtId="0" fontId="18" fillId="43" borderId="14" xfId="0" applyFont="1" applyFill="1" applyBorder="1"/>
    <xf numFmtId="0" fontId="19" fillId="33" borderId="13" xfId="0" applyFont="1" applyFill="1" applyBorder="1"/>
    <xf numFmtId="0" fontId="19" fillId="33" borderId="0" xfId="0" applyFont="1" applyFill="1"/>
    <xf numFmtId="0" fontId="19" fillId="33" borderId="14" xfId="0" applyFont="1" applyFill="1" applyBorder="1"/>
    <xf numFmtId="0" fontId="18" fillId="37" borderId="13" xfId="0" applyFont="1" applyFill="1" applyBorder="1"/>
    <xf numFmtId="0" fontId="18" fillId="37" borderId="0" xfId="0" applyFont="1" applyFill="1"/>
    <xf numFmtId="0" fontId="18" fillId="37" borderId="14" xfId="0" applyFont="1" applyFill="1" applyBorder="1"/>
    <xf numFmtId="0" fontId="18" fillId="41" borderId="13" xfId="0" applyFont="1" applyFill="1" applyBorder="1"/>
    <xf numFmtId="0" fontId="18" fillId="41" borderId="0" xfId="0" applyFont="1" applyFill="1"/>
    <xf numFmtId="0" fontId="18" fillId="41" borderId="14" xfId="0" applyFont="1" applyFill="1" applyBorder="1"/>
    <xf numFmtId="0" fontId="18" fillId="47" borderId="13" xfId="0" applyFont="1" applyFill="1" applyBorder="1"/>
    <xf numFmtId="0" fontId="18" fillId="47" borderId="0" xfId="0" applyFont="1" applyFill="1"/>
    <xf numFmtId="0" fontId="18" fillId="47" borderId="14" xfId="0" applyFont="1" applyFill="1" applyBorder="1"/>
    <xf numFmtId="0" fontId="18" fillId="46" borderId="13" xfId="0" applyFont="1" applyFill="1" applyBorder="1"/>
    <xf numFmtId="0" fontId="18" fillId="46" borderId="0" xfId="0" applyFont="1" applyFill="1"/>
    <xf numFmtId="0" fontId="18" fillId="46" borderId="14" xfId="0" applyFont="1" applyFill="1" applyBorder="1"/>
    <xf numFmtId="0" fontId="18" fillId="38" borderId="13" xfId="0" applyFont="1" applyFill="1" applyBorder="1"/>
    <xf numFmtId="0" fontId="18" fillId="38" borderId="0" xfId="0" applyFont="1" applyFill="1"/>
    <xf numFmtId="0" fontId="18" fillId="38" borderId="14" xfId="0" applyFont="1" applyFill="1" applyBorder="1"/>
    <xf numFmtId="0" fontId="20" fillId="0" borderId="15" xfId="0" applyFont="1" applyBorder="1"/>
    <xf numFmtId="0" fontId="19" fillId="48" borderId="0" xfId="0" applyFont="1" applyFill="1"/>
    <xf numFmtId="0" fontId="18" fillId="40" borderId="13" xfId="0" applyFont="1" applyFill="1" applyBorder="1"/>
    <xf numFmtId="0" fontId="18" fillId="40" borderId="0" xfId="0" applyFont="1" applyFill="1"/>
    <xf numFmtId="0" fontId="18" fillId="40" borderId="14" xfId="0" applyFont="1" applyFill="1" applyBorder="1"/>
    <xf numFmtId="0" fontId="19" fillId="49" borderId="0" xfId="0" applyFont="1" applyFill="1"/>
    <xf numFmtId="0" fontId="19" fillId="50" borderId="0" xfId="0" applyFont="1" applyFill="1"/>
    <xf numFmtId="0" fontId="19" fillId="58" borderId="0" xfId="0" applyFont="1" applyFill="1"/>
    <xf numFmtId="0" fontId="19" fillId="51" borderId="0" xfId="0" applyFont="1" applyFill="1"/>
    <xf numFmtId="0" fontId="18" fillId="36" borderId="0" xfId="0" applyFont="1" applyFill="1"/>
    <xf numFmtId="0" fontId="18" fillId="52" borderId="0" xfId="0" applyFont="1" applyFill="1"/>
    <xf numFmtId="0" fontId="18" fillId="53" borderId="0" xfId="0" applyFont="1" applyFill="1"/>
    <xf numFmtId="0" fontId="19" fillId="54" borderId="0" xfId="0" applyFont="1" applyFill="1"/>
    <xf numFmtId="0" fontId="19" fillId="55" borderId="0" xfId="0" applyFont="1" applyFill="1"/>
    <xf numFmtId="0" fontId="19" fillId="56" borderId="0" xfId="0" applyFont="1" applyFill="1"/>
    <xf numFmtId="0" fontId="19" fillId="57" borderId="0" xfId="0" applyFont="1" applyFill="1"/>
    <xf numFmtId="0" fontId="19" fillId="0" borderId="0" xfId="0" applyFont="1"/>
    <xf numFmtId="0" fontId="18" fillId="0" borderId="0" xfId="0" applyFont="1"/>
    <xf numFmtId="0" fontId="20" fillId="0" borderId="16" xfId="0" applyFont="1" applyBorder="1"/>
    <xf numFmtId="0" fontId="18" fillId="38" borderId="17" xfId="0" applyFont="1" applyFill="1" applyBorder="1"/>
    <xf numFmtId="0" fontId="19" fillId="54" borderId="17" xfId="0" applyFont="1" applyFill="1" applyBorder="1"/>
    <xf numFmtId="0" fontId="18" fillId="59" borderId="13" xfId="0" applyFont="1" applyFill="1" applyBorder="1"/>
    <xf numFmtId="0" fontId="18" fillId="59" borderId="0" xfId="0" applyFont="1" applyFill="1"/>
    <xf numFmtId="0" fontId="18" fillId="59" borderId="14" xfId="0" applyFont="1" applyFill="1" applyBorder="1"/>
    <xf numFmtId="0" fontId="18" fillId="60" borderId="13" xfId="0" applyFont="1" applyFill="1" applyBorder="1"/>
    <xf numFmtId="0" fontId="18" fillId="60" borderId="0" xfId="0" applyFont="1" applyFill="1"/>
    <xf numFmtId="0" fontId="18" fillId="60" borderId="14" xfId="0" applyFont="1" applyFill="1" applyBorder="1"/>
    <xf numFmtId="0" fontId="18" fillId="61" borderId="13" xfId="0" applyFont="1" applyFill="1" applyBorder="1"/>
    <xf numFmtId="0" fontId="18" fillId="61" borderId="0" xfId="0" applyFont="1" applyFill="1"/>
    <xf numFmtId="0" fontId="18" fillId="61" borderId="14" xfId="0" applyFont="1" applyFill="1" applyBorder="1"/>
    <xf numFmtId="0" fontId="18" fillId="62" borderId="13" xfId="0" applyFont="1" applyFill="1" applyBorder="1"/>
    <xf numFmtId="0" fontId="18" fillId="62" borderId="0" xfId="0" applyFont="1" applyFill="1"/>
    <xf numFmtId="0" fontId="18" fillId="62" borderId="14" xfId="0" applyFont="1" applyFill="1" applyBorder="1"/>
    <xf numFmtId="0" fontId="18" fillId="63" borderId="13" xfId="0" applyFont="1" applyFill="1" applyBorder="1"/>
    <xf numFmtId="0" fontId="18" fillId="63" borderId="0" xfId="0" applyFont="1" applyFill="1"/>
    <xf numFmtId="0" fontId="18" fillId="63" borderId="14" xfId="0" applyFont="1" applyFill="1" applyBorder="1"/>
    <xf numFmtId="0" fontId="18" fillId="64" borderId="13" xfId="0" applyFont="1" applyFill="1" applyBorder="1"/>
    <xf numFmtId="0" fontId="18" fillId="64" borderId="0" xfId="0" applyFont="1" applyFill="1"/>
    <xf numFmtId="0" fontId="18" fillId="64" borderId="14" xfId="0" applyFont="1" applyFill="1" applyBorder="1"/>
    <xf numFmtId="0" fontId="18" fillId="65" borderId="13" xfId="0" applyFont="1" applyFill="1" applyBorder="1"/>
    <xf numFmtId="0" fontId="18" fillId="65" borderId="0" xfId="0" applyFont="1" applyFill="1"/>
    <xf numFmtId="0" fontId="18" fillId="65" borderId="14" xfId="0" applyFont="1" applyFill="1" applyBorder="1"/>
    <xf numFmtId="0" fontId="18" fillId="66" borderId="13" xfId="0" applyFont="1" applyFill="1" applyBorder="1"/>
    <xf numFmtId="0" fontId="18" fillId="66" borderId="0" xfId="0" applyFont="1" applyFill="1"/>
    <xf numFmtId="0" fontId="18" fillId="66" borderId="14" xfId="0" applyFont="1" applyFill="1" applyBorder="1"/>
    <xf numFmtId="0" fontId="18" fillId="67" borderId="17" xfId="0" applyFont="1" applyFill="1" applyBorder="1"/>
    <xf numFmtId="0" fontId="19" fillId="48" borderId="13" xfId="0" applyFont="1" applyFill="1" applyBorder="1"/>
    <xf numFmtId="0" fontId="19" fillId="48" borderId="14" xfId="0" applyFont="1" applyFill="1" applyBorder="1"/>
    <xf numFmtId="0" fontId="19" fillId="48" borderId="17" xfId="0" applyFont="1" applyFill="1" applyBorder="1"/>
    <xf numFmtId="0" fontId="18" fillId="68" borderId="13" xfId="0" applyFont="1" applyFill="1" applyBorder="1"/>
    <xf numFmtId="0" fontId="18" fillId="68" borderId="0" xfId="0" applyFont="1" applyFill="1"/>
    <xf numFmtId="0" fontId="18" fillId="68" borderId="14" xfId="0" applyFont="1" applyFill="1" applyBorder="1"/>
    <xf numFmtId="0" fontId="18" fillId="69" borderId="13" xfId="0" applyFont="1" applyFill="1" applyBorder="1"/>
    <xf numFmtId="0" fontId="18" fillId="69" borderId="0" xfId="0" applyFont="1" applyFill="1"/>
    <xf numFmtId="0" fontId="18" fillId="69" borderId="14" xfId="0" applyFont="1" applyFill="1" applyBorder="1"/>
    <xf numFmtId="0" fontId="18" fillId="70" borderId="13" xfId="0" applyFont="1" applyFill="1" applyBorder="1"/>
    <xf numFmtId="0" fontId="18" fillId="70" borderId="0" xfId="0" applyFont="1" applyFill="1"/>
    <xf numFmtId="0" fontId="18" fillId="70" borderId="14" xfId="0" applyFont="1" applyFill="1" applyBorder="1"/>
    <xf numFmtId="0" fontId="18" fillId="71" borderId="13" xfId="0" applyFont="1" applyFill="1" applyBorder="1"/>
    <xf numFmtId="0" fontId="18" fillId="71" borderId="0" xfId="0" applyFont="1" applyFill="1"/>
    <xf numFmtId="0" fontId="18" fillId="71" borderId="14" xfId="0" applyFont="1" applyFill="1" applyBorder="1"/>
    <xf numFmtId="0" fontId="19" fillId="72" borderId="13" xfId="0" applyFont="1" applyFill="1" applyBorder="1"/>
    <xf numFmtId="0" fontId="19" fillId="72" borderId="0" xfId="0" applyFont="1" applyFill="1"/>
    <xf numFmtId="0" fontId="19" fillId="72" borderId="14" xfId="0" applyFont="1" applyFill="1" applyBorder="1"/>
    <xf numFmtId="0" fontId="19" fillId="73" borderId="13" xfId="0" applyFont="1" applyFill="1" applyBorder="1"/>
    <xf numFmtId="0" fontId="19" fillId="73" borderId="0" xfId="0" applyFont="1" applyFill="1"/>
    <xf numFmtId="0" fontId="19" fillId="73" borderId="14" xfId="0" applyFont="1" applyFill="1" applyBorder="1"/>
    <xf numFmtId="0" fontId="19" fillId="74" borderId="13" xfId="0" applyFont="1" applyFill="1" applyBorder="1"/>
    <xf numFmtId="0" fontId="19" fillId="74" borderId="0" xfId="0" applyFont="1" applyFill="1"/>
    <xf numFmtId="0" fontId="19" fillId="74" borderId="14" xfId="0" applyFont="1" applyFill="1" applyBorder="1"/>
    <xf numFmtId="0" fontId="18" fillId="75" borderId="13" xfId="0" applyFont="1" applyFill="1" applyBorder="1"/>
    <xf numFmtId="0" fontId="18" fillId="75" borderId="0" xfId="0" applyFont="1" applyFill="1"/>
    <xf numFmtId="0" fontId="18" fillId="75" borderId="14" xfId="0" applyFont="1" applyFill="1" applyBorder="1"/>
    <xf numFmtId="0" fontId="19" fillId="76" borderId="13" xfId="0" applyFont="1" applyFill="1" applyBorder="1"/>
    <xf numFmtId="0" fontId="19" fillId="76" borderId="0" xfId="0" applyFont="1" applyFill="1"/>
    <xf numFmtId="0" fontId="19" fillId="76" borderId="14" xfId="0" applyFont="1" applyFill="1" applyBorder="1"/>
    <xf numFmtId="0" fontId="19" fillId="77" borderId="13" xfId="0" applyFont="1" applyFill="1" applyBorder="1"/>
    <xf numFmtId="0" fontId="19" fillId="77" borderId="0" xfId="0" applyFont="1" applyFill="1"/>
    <xf numFmtId="0" fontId="19" fillId="77" borderId="14" xfId="0" applyFont="1" applyFill="1" applyBorder="1"/>
    <xf numFmtId="0" fontId="19" fillId="78" borderId="13" xfId="0" applyFont="1" applyFill="1" applyBorder="1"/>
    <xf numFmtId="0" fontId="19" fillId="78" borderId="0" xfId="0" applyFont="1" applyFill="1"/>
    <xf numFmtId="0" fontId="19" fillId="78" borderId="14" xfId="0" applyFont="1" applyFill="1" applyBorder="1"/>
    <xf numFmtId="0" fontId="18" fillId="79" borderId="13" xfId="0" applyFont="1" applyFill="1" applyBorder="1"/>
    <xf numFmtId="0" fontId="18" fillId="79" borderId="0" xfId="0" applyFont="1" applyFill="1"/>
    <xf numFmtId="0" fontId="18" fillId="79" borderId="14" xfId="0" applyFont="1" applyFill="1" applyBorder="1"/>
    <xf numFmtId="0" fontId="18" fillId="80" borderId="13" xfId="0" applyFont="1" applyFill="1" applyBorder="1"/>
    <xf numFmtId="0" fontId="18" fillId="80" borderId="0" xfId="0" applyFont="1" applyFill="1"/>
    <xf numFmtId="0" fontId="18" fillId="80" borderId="14" xfId="0" applyFont="1" applyFill="1" applyBorder="1"/>
    <xf numFmtId="0" fontId="18" fillId="81" borderId="13" xfId="0" applyFont="1" applyFill="1" applyBorder="1"/>
    <xf numFmtId="0" fontId="18" fillId="81" borderId="0" xfId="0" applyFont="1" applyFill="1"/>
    <xf numFmtId="0" fontId="18" fillId="81" borderId="14" xfId="0" applyFont="1" applyFill="1" applyBorder="1"/>
    <xf numFmtId="0" fontId="18" fillId="82" borderId="13" xfId="0" applyFont="1" applyFill="1" applyBorder="1"/>
    <xf numFmtId="0" fontId="18" fillId="82" borderId="0" xfId="0" applyFont="1" applyFill="1"/>
    <xf numFmtId="0" fontId="18" fillId="82" borderId="14" xfId="0" applyFont="1" applyFill="1" applyBorder="1"/>
    <xf numFmtId="0" fontId="18" fillId="83" borderId="13" xfId="0" applyFont="1" applyFill="1" applyBorder="1"/>
    <xf numFmtId="0" fontId="18" fillId="83" borderId="0" xfId="0" applyFont="1" applyFill="1"/>
    <xf numFmtId="0" fontId="18" fillId="83" borderId="14" xfId="0" applyFont="1" applyFill="1" applyBorder="1"/>
    <xf numFmtId="0" fontId="18" fillId="84" borderId="13" xfId="0" applyFont="1" applyFill="1" applyBorder="1"/>
    <xf numFmtId="0" fontId="18" fillId="84" borderId="0" xfId="0" applyFont="1" applyFill="1"/>
    <xf numFmtId="0" fontId="18" fillId="84" borderId="14" xfId="0" applyFont="1" applyFill="1" applyBorder="1"/>
    <xf numFmtId="0" fontId="19" fillId="85" borderId="13" xfId="0" applyFont="1" applyFill="1" applyBorder="1"/>
    <xf numFmtId="0" fontId="19" fillId="85" borderId="0" xfId="0" applyFont="1" applyFill="1"/>
    <xf numFmtId="0" fontId="19" fillId="85" borderId="14" xfId="0" applyFont="1" applyFill="1" applyBorder="1"/>
    <xf numFmtId="0" fontId="18" fillId="86" borderId="13" xfId="0" applyFont="1" applyFill="1" applyBorder="1"/>
    <xf numFmtId="0" fontId="18" fillId="86" borderId="0" xfId="0" applyFont="1" applyFill="1"/>
    <xf numFmtId="0" fontId="18" fillId="86" borderId="14" xfId="0" applyFont="1" applyFill="1" applyBorder="1"/>
    <xf numFmtId="0" fontId="18" fillId="87" borderId="13" xfId="0" applyFont="1" applyFill="1" applyBorder="1"/>
    <xf numFmtId="0" fontId="18" fillId="87" borderId="0" xfId="0" applyFont="1" applyFill="1"/>
    <xf numFmtId="0" fontId="18" fillId="87" borderId="14" xfId="0" applyFont="1" applyFill="1" applyBorder="1"/>
    <xf numFmtId="0" fontId="18" fillId="88" borderId="13" xfId="0" applyFont="1" applyFill="1" applyBorder="1"/>
    <xf numFmtId="0" fontId="18" fillId="88" borderId="0" xfId="0" applyFont="1" applyFill="1"/>
    <xf numFmtId="0" fontId="18" fillId="88" borderId="14" xfId="0" applyFont="1" applyFill="1" applyBorder="1"/>
    <xf numFmtId="0" fontId="18" fillId="89" borderId="13" xfId="0" applyFont="1" applyFill="1" applyBorder="1"/>
    <xf numFmtId="0" fontId="18" fillId="89" borderId="0" xfId="0" applyFont="1" applyFill="1"/>
    <xf numFmtId="0" fontId="18" fillId="89" borderId="14" xfId="0" applyFont="1" applyFill="1" applyBorder="1"/>
    <xf numFmtId="0" fontId="18" fillId="90" borderId="13" xfId="0" applyFont="1" applyFill="1" applyBorder="1"/>
    <xf numFmtId="0" fontId="18" fillId="90" borderId="0" xfId="0" applyFont="1" applyFill="1"/>
    <xf numFmtId="0" fontId="18" fillId="90" borderId="14" xfId="0" applyFont="1" applyFill="1" applyBorder="1"/>
    <xf numFmtId="0" fontId="18" fillId="91" borderId="13" xfId="0" applyFont="1" applyFill="1" applyBorder="1"/>
    <xf numFmtId="0" fontId="18" fillId="91" borderId="0" xfId="0" applyFont="1" applyFill="1"/>
    <xf numFmtId="0" fontId="18" fillId="91" borderId="14" xfId="0" applyFont="1" applyFill="1" applyBorder="1"/>
    <xf numFmtId="0" fontId="18" fillId="92" borderId="13" xfId="0" applyFont="1" applyFill="1" applyBorder="1"/>
    <xf numFmtId="0" fontId="18" fillId="92" borderId="0" xfId="0" applyFont="1" applyFill="1"/>
    <xf numFmtId="0" fontId="18" fillId="92" borderId="14" xfId="0" applyFont="1" applyFill="1" applyBorder="1"/>
    <xf numFmtId="0" fontId="19" fillId="56" borderId="13" xfId="0" applyFont="1" applyFill="1" applyBorder="1"/>
    <xf numFmtId="0" fontId="19" fillId="56" borderId="14" xfId="0" applyFont="1" applyFill="1" applyBorder="1"/>
    <xf numFmtId="0" fontId="19" fillId="93" borderId="13" xfId="0" applyFont="1" applyFill="1" applyBorder="1"/>
    <xf numFmtId="0" fontId="19" fillId="93" borderId="0" xfId="0" applyFont="1" applyFill="1"/>
    <xf numFmtId="0" fontId="19" fillId="93" borderId="14" xfId="0" applyFont="1" applyFill="1" applyBorder="1"/>
    <xf numFmtId="0" fontId="18" fillId="94" borderId="13" xfId="0" applyFont="1" applyFill="1" applyBorder="1"/>
    <xf numFmtId="0" fontId="18" fillId="94" borderId="0" xfId="0" applyFont="1" applyFill="1"/>
    <xf numFmtId="0" fontId="18" fillId="94" borderId="14" xfId="0" applyFont="1" applyFill="1" applyBorder="1"/>
    <xf numFmtId="0" fontId="19" fillId="95" borderId="13" xfId="0" applyFont="1" applyFill="1" applyBorder="1"/>
    <xf numFmtId="0" fontId="19" fillId="95" borderId="0" xfId="0" applyFont="1" applyFill="1"/>
    <xf numFmtId="0" fontId="19" fillId="95" borderId="14" xfId="0" applyFont="1" applyFill="1" applyBorder="1"/>
    <xf numFmtId="0" fontId="19" fillId="54" borderId="13" xfId="0" applyFont="1" applyFill="1" applyBorder="1"/>
    <xf numFmtId="0" fontId="19" fillId="54" borderId="14" xfId="0" applyFont="1" applyFill="1" applyBorder="1"/>
    <xf numFmtId="0" fontId="19" fillId="96" borderId="13" xfId="0" applyFont="1" applyFill="1" applyBorder="1"/>
    <xf numFmtId="0" fontId="19" fillId="96" borderId="0" xfId="0" applyFont="1" applyFill="1"/>
    <xf numFmtId="0" fontId="19" fillId="96" borderId="14" xfId="0" applyFont="1" applyFill="1" applyBorder="1"/>
    <xf numFmtId="0" fontId="19" fillId="97" borderId="13" xfId="0" applyFont="1" applyFill="1" applyBorder="1"/>
    <xf numFmtId="0" fontId="19" fillId="97" borderId="0" xfId="0" applyFont="1" applyFill="1"/>
    <xf numFmtId="0" fontId="19" fillId="97" borderId="14" xfId="0" applyFont="1" applyFill="1" applyBorder="1"/>
    <xf numFmtId="0" fontId="19" fillId="98" borderId="13" xfId="0" applyFont="1" applyFill="1" applyBorder="1"/>
    <xf numFmtId="0" fontId="19" fillId="98" borderId="0" xfId="0" applyFont="1" applyFill="1"/>
    <xf numFmtId="0" fontId="19" fillId="98" borderId="14" xfId="0" applyFont="1" applyFill="1" applyBorder="1"/>
    <xf numFmtId="0" fontId="19" fillId="49" borderId="13" xfId="0" applyFont="1" applyFill="1" applyBorder="1"/>
    <xf numFmtId="0" fontId="19" fillId="49" borderId="14" xfId="0" applyFont="1" applyFill="1" applyBorder="1"/>
    <xf numFmtId="0" fontId="19" fillId="99" borderId="13" xfId="0" applyFont="1" applyFill="1" applyBorder="1"/>
    <xf numFmtId="0" fontId="19" fillId="99" borderId="0" xfId="0" applyFont="1" applyFill="1"/>
    <xf numFmtId="0" fontId="19" fillId="99" borderId="14" xfId="0" applyFont="1" applyFill="1" applyBorder="1"/>
    <xf numFmtId="0" fontId="18" fillId="100" borderId="13" xfId="0" applyFont="1" applyFill="1" applyBorder="1"/>
    <xf numFmtId="0" fontId="18" fillId="100" borderId="0" xfId="0" applyFont="1" applyFill="1"/>
    <xf numFmtId="0" fontId="18" fillId="100" borderId="14" xfId="0" applyFont="1" applyFill="1" applyBorder="1"/>
    <xf numFmtId="0" fontId="19" fillId="101" borderId="13" xfId="0" applyFont="1" applyFill="1" applyBorder="1"/>
    <xf numFmtId="0" fontId="19" fillId="101" borderId="0" xfId="0" applyFont="1" applyFill="1"/>
    <xf numFmtId="0" fontId="19" fillId="101" borderId="14" xfId="0" applyFont="1" applyFill="1" applyBorder="1"/>
    <xf numFmtId="0" fontId="19" fillId="102" borderId="13" xfId="0" applyFont="1" applyFill="1" applyBorder="1"/>
    <xf numFmtId="0" fontId="19" fillId="102" borderId="0" xfId="0" applyFont="1" applyFill="1"/>
    <xf numFmtId="0" fontId="19" fillId="102" borderId="14" xfId="0" applyFont="1" applyFill="1" applyBorder="1"/>
    <xf numFmtId="0" fontId="19" fillId="103" borderId="13" xfId="0" applyFont="1" applyFill="1" applyBorder="1"/>
    <xf numFmtId="0" fontId="19" fillId="103" borderId="0" xfId="0" applyFont="1" applyFill="1"/>
    <xf numFmtId="0" fontId="19" fillId="103" borderId="14" xfId="0" applyFont="1" applyFill="1" applyBorder="1"/>
    <xf numFmtId="0" fontId="18" fillId="104" borderId="13" xfId="0" applyFont="1" applyFill="1" applyBorder="1"/>
    <xf numFmtId="0" fontId="18" fillId="104" borderId="0" xfId="0" applyFont="1" applyFill="1"/>
    <xf numFmtId="0" fontId="18" fillId="104" borderId="14" xfId="0" applyFont="1" applyFill="1" applyBorder="1"/>
    <xf numFmtId="0" fontId="18" fillId="105" borderId="13" xfId="0" applyFont="1" applyFill="1" applyBorder="1"/>
    <xf numFmtId="0" fontId="18" fillId="105" borderId="0" xfId="0" applyFont="1" applyFill="1"/>
    <xf numFmtId="0" fontId="18" fillId="105" borderId="14" xfId="0" applyFont="1" applyFill="1" applyBorder="1"/>
    <xf numFmtId="0" fontId="18" fillId="106" borderId="13" xfId="0" applyFont="1" applyFill="1" applyBorder="1"/>
    <xf numFmtId="0" fontId="18" fillId="106" borderId="0" xfId="0" applyFont="1" applyFill="1"/>
    <xf numFmtId="0" fontId="18" fillId="106" borderId="14" xfId="0" applyFont="1" applyFill="1" applyBorder="1"/>
    <xf numFmtId="0" fontId="18" fillId="107" borderId="13" xfId="0" applyFont="1" applyFill="1" applyBorder="1"/>
    <xf numFmtId="0" fontId="18" fillId="107" borderId="0" xfId="0" applyFont="1" applyFill="1"/>
    <xf numFmtId="0" fontId="18" fillId="107" borderId="14" xfId="0" applyFont="1" applyFill="1" applyBorder="1"/>
    <xf numFmtId="0" fontId="18" fillId="108" borderId="13" xfId="0" applyFont="1" applyFill="1" applyBorder="1"/>
    <xf numFmtId="0" fontId="18" fillId="108" borderId="0" xfId="0" applyFont="1" applyFill="1"/>
    <xf numFmtId="0" fontId="18" fillId="108" borderId="14" xfId="0" applyFont="1" applyFill="1" applyBorder="1"/>
    <xf numFmtId="0" fontId="18" fillId="109" borderId="13" xfId="0" applyFont="1" applyFill="1" applyBorder="1"/>
    <xf numFmtId="0" fontId="18" fillId="109" borderId="0" xfId="0" applyFont="1" applyFill="1"/>
    <xf numFmtId="0" fontId="18" fillId="109" borderId="14" xfId="0" applyFont="1" applyFill="1" applyBorder="1"/>
    <xf numFmtId="0" fontId="18" fillId="110" borderId="13" xfId="0" applyFont="1" applyFill="1" applyBorder="1"/>
    <xf numFmtId="0" fontId="18" fillId="110" borderId="0" xfId="0" applyFont="1" applyFill="1"/>
    <xf numFmtId="0" fontId="18" fillId="110" borderId="14" xfId="0" applyFont="1" applyFill="1" applyBorder="1"/>
    <xf numFmtId="0" fontId="18" fillId="111" borderId="13" xfId="0" applyFont="1" applyFill="1" applyBorder="1"/>
    <xf numFmtId="0" fontId="18" fillId="111" borderId="0" xfId="0" applyFont="1" applyFill="1"/>
    <xf numFmtId="0" fontId="18" fillId="111" borderId="14" xfId="0" applyFont="1" applyFill="1" applyBorder="1"/>
    <xf numFmtId="0" fontId="18" fillId="112" borderId="13" xfId="0" applyFont="1" applyFill="1" applyBorder="1"/>
    <xf numFmtId="0" fontId="18" fillId="112" borderId="0" xfId="0" applyFont="1" applyFill="1"/>
    <xf numFmtId="0" fontId="18" fillId="112" borderId="14" xfId="0" applyFont="1" applyFill="1" applyBorder="1"/>
    <xf numFmtId="0" fontId="18" fillId="113" borderId="13" xfId="0" applyFont="1" applyFill="1" applyBorder="1"/>
    <xf numFmtId="0" fontId="18" fillId="113" borderId="0" xfId="0" applyFont="1" applyFill="1"/>
    <xf numFmtId="0" fontId="18" fillId="113" borderId="14" xfId="0" applyFont="1" applyFill="1" applyBorder="1"/>
    <xf numFmtId="0" fontId="19" fillId="114" borderId="13" xfId="0" applyFont="1" applyFill="1" applyBorder="1"/>
    <xf numFmtId="0" fontId="19" fillId="114" borderId="0" xfId="0" applyFont="1" applyFill="1"/>
    <xf numFmtId="0" fontId="19" fillId="114" borderId="14" xfId="0" applyFont="1" applyFill="1" applyBorder="1"/>
    <xf numFmtId="0" fontId="19" fillId="115" borderId="13" xfId="0" applyFont="1" applyFill="1" applyBorder="1"/>
    <xf numFmtId="0" fontId="19" fillId="115" borderId="0" xfId="0" applyFont="1" applyFill="1"/>
    <xf numFmtId="0" fontId="19" fillId="115" borderId="14" xfId="0" applyFont="1" applyFill="1" applyBorder="1"/>
    <xf numFmtId="0" fontId="18" fillId="116" borderId="13" xfId="0" applyFont="1" applyFill="1" applyBorder="1"/>
    <xf numFmtId="0" fontId="18" fillId="116" borderId="0" xfId="0" applyFont="1" applyFill="1"/>
    <xf numFmtId="0" fontId="18" fillId="116" borderId="14" xfId="0" applyFont="1" applyFill="1" applyBorder="1"/>
    <xf numFmtId="0" fontId="18" fillId="117" borderId="13" xfId="0" applyFont="1" applyFill="1" applyBorder="1"/>
    <xf numFmtId="0" fontId="18" fillId="117" borderId="0" xfId="0" applyFont="1" applyFill="1"/>
    <xf numFmtId="0" fontId="18" fillId="117" borderId="14" xfId="0" applyFont="1" applyFill="1" applyBorder="1"/>
    <xf numFmtId="0" fontId="18" fillId="118" borderId="13" xfId="0" applyFont="1" applyFill="1" applyBorder="1"/>
    <xf numFmtId="0" fontId="18" fillId="118" borderId="0" xfId="0" applyFont="1" applyFill="1"/>
    <xf numFmtId="0" fontId="18" fillId="118" borderId="14" xfId="0" applyFont="1" applyFill="1" applyBorder="1"/>
    <xf numFmtId="0" fontId="18" fillId="119" borderId="13" xfId="0" applyFont="1" applyFill="1" applyBorder="1"/>
    <xf numFmtId="0" fontId="18" fillId="119" borderId="0" xfId="0" applyFont="1" applyFill="1"/>
    <xf numFmtId="0" fontId="18" fillId="119" borderId="14" xfId="0" applyFont="1" applyFill="1" applyBorder="1"/>
    <xf numFmtId="0" fontId="18" fillId="120" borderId="13" xfId="0" applyFont="1" applyFill="1" applyBorder="1"/>
    <xf numFmtId="0" fontId="18" fillId="120" borderId="0" xfId="0" applyFont="1" applyFill="1"/>
    <xf numFmtId="0" fontId="18" fillId="120" borderId="14" xfId="0" applyFont="1" applyFill="1" applyBorder="1"/>
    <xf numFmtId="0" fontId="18" fillId="121" borderId="13" xfId="0" applyFont="1" applyFill="1" applyBorder="1"/>
    <xf numFmtId="0" fontId="18" fillId="121" borderId="0" xfId="0" applyFont="1" applyFill="1"/>
    <xf numFmtId="0" fontId="18" fillId="121" borderId="14" xfId="0" applyFont="1" applyFill="1" applyBorder="1"/>
    <xf numFmtId="0" fontId="18" fillId="122" borderId="13" xfId="0" applyFont="1" applyFill="1" applyBorder="1"/>
    <xf numFmtId="0" fontId="18" fillId="122" borderId="0" xfId="0" applyFont="1" applyFill="1"/>
    <xf numFmtId="0" fontId="18" fillId="122" borderId="14" xfId="0" applyFont="1" applyFill="1" applyBorder="1"/>
    <xf numFmtId="0" fontId="19" fillId="123" borderId="13" xfId="0" applyFont="1" applyFill="1" applyBorder="1"/>
    <xf numFmtId="0" fontId="19" fillId="123" borderId="14" xfId="0" applyFont="1" applyFill="1" applyBorder="1"/>
    <xf numFmtId="0" fontId="19" fillId="124" borderId="13" xfId="0" applyFont="1" applyFill="1" applyBorder="1"/>
    <xf numFmtId="0" fontId="19" fillId="124" borderId="14" xfId="0" applyFont="1" applyFill="1" applyBorder="1"/>
    <xf numFmtId="0" fontId="19" fillId="125" borderId="13" xfId="0" applyFont="1" applyFill="1" applyBorder="1"/>
    <xf numFmtId="0" fontId="19" fillId="125" borderId="0" xfId="0" applyFont="1" applyFill="1"/>
    <xf numFmtId="0" fontId="19" fillId="125" borderId="14" xfId="0" applyFont="1" applyFill="1" applyBorder="1"/>
    <xf numFmtId="0" fontId="19" fillId="126" borderId="13" xfId="0" applyFont="1" applyFill="1" applyBorder="1"/>
    <xf numFmtId="0" fontId="19" fillId="126" borderId="0" xfId="0" applyFont="1" applyFill="1"/>
    <xf numFmtId="0" fontId="19" fillId="126" borderId="14" xfId="0" applyFont="1" applyFill="1" applyBorder="1"/>
    <xf numFmtId="0" fontId="19" fillId="123" borderId="0" xfId="0" applyFont="1" applyFill="1"/>
    <xf numFmtId="0" fontId="19" fillId="124" borderId="0" xfId="0" applyFont="1" applyFill="1"/>
    <xf numFmtId="0" fontId="18" fillId="127" borderId="13" xfId="0" applyFont="1" applyFill="1" applyBorder="1"/>
    <xf numFmtId="0" fontId="18" fillId="127" borderId="0" xfId="0" applyFont="1" applyFill="1"/>
    <xf numFmtId="0" fontId="18" fillId="127" borderId="14" xfId="0" applyFont="1" applyFill="1" applyBorder="1"/>
    <xf numFmtId="0" fontId="18" fillId="128" borderId="13" xfId="0" applyFont="1" applyFill="1" applyBorder="1"/>
    <xf numFmtId="0" fontId="18" fillId="128" borderId="0" xfId="0" applyFont="1" applyFill="1"/>
    <xf numFmtId="0" fontId="18" fillId="128" borderId="14" xfId="0" applyFont="1" applyFill="1" applyBorder="1"/>
    <xf numFmtId="0" fontId="18" fillId="129" borderId="13" xfId="0" applyFont="1" applyFill="1" applyBorder="1"/>
    <xf numFmtId="0" fontId="18" fillId="129" borderId="0" xfId="0" applyFont="1" applyFill="1"/>
    <xf numFmtId="0" fontId="18" fillId="129" borderId="14" xfId="0" applyFont="1" applyFill="1" applyBorder="1"/>
    <xf numFmtId="0" fontId="18" fillId="130" borderId="13" xfId="0" applyFont="1" applyFill="1" applyBorder="1"/>
    <xf numFmtId="0" fontId="18" fillId="130" borderId="0" xfId="0" applyFont="1" applyFill="1"/>
    <xf numFmtId="0" fontId="18" fillId="130" borderId="14" xfId="0" applyFont="1" applyFill="1" applyBorder="1"/>
    <xf numFmtId="0" fontId="18" fillId="131" borderId="13" xfId="0" applyFont="1" applyFill="1" applyBorder="1"/>
    <xf numFmtId="0" fontId="18" fillId="131" borderId="0" xfId="0" applyFont="1" applyFill="1"/>
    <xf numFmtId="0" fontId="18" fillId="131" borderId="14" xfId="0" applyFont="1" applyFill="1" applyBorder="1"/>
    <xf numFmtId="0" fontId="18" fillId="132" borderId="13" xfId="0" applyFont="1" applyFill="1" applyBorder="1"/>
    <xf numFmtId="0" fontId="18" fillId="132" borderId="0" xfId="0" applyFont="1" applyFill="1"/>
    <xf numFmtId="0" fontId="18" fillId="132" borderId="14" xfId="0" applyFont="1" applyFill="1" applyBorder="1"/>
    <xf numFmtId="0" fontId="18" fillId="133" borderId="13" xfId="0" applyFont="1" applyFill="1" applyBorder="1"/>
    <xf numFmtId="0" fontId="18" fillId="133" borderId="0" xfId="0" applyFont="1" applyFill="1"/>
    <xf numFmtId="0" fontId="18" fillId="133" borderId="14" xfId="0" applyFont="1" applyFill="1" applyBorder="1"/>
    <xf numFmtId="0" fontId="18" fillId="134" borderId="13" xfId="0" applyFont="1" applyFill="1" applyBorder="1"/>
    <xf numFmtId="0" fontId="18" fillId="134" borderId="0" xfId="0" applyFont="1" applyFill="1"/>
    <xf numFmtId="0" fontId="18" fillId="134" borderId="14" xfId="0" applyFont="1" applyFill="1" applyBorder="1"/>
    <xf numFmtId="0" fontId="18" fillId="135" borderId="13" xfId="0" applyFont="1" applyFill="1" applyBorder="1"/>
    <xf numFmtId="0" fontId="18" fillId="135" borderId="0" xfId="0" applyFont="1" applyFill="1"/>
    <xf numFmtId="0" fontId="18" fillId="135" borderId="14" xfId="0" applyFont="1" applyFill="1" applyBorder="1"/>
    <xf numFmtId="0" fontId="18" fillId="136" borderId="13" xfId="0" applyFont="1" applyFill="1" applyBorder="1"/>
    <xf numFmtId="0" fontId="18" fillId="136" borderId="0" xfId="0" applyFont="1" applyFill="1"/>
    <xf numFmtId="0" fontId="18" fillId="136" borderId="14" xfId="0" applyFont="1" applyFill="1" applyBorder="1"/>
    <xf numFmtId="0" fontId="18" fillId="137" borderId="13" xfId="0" applyFont="1" applyFill="1" applyBorder="1"/>
    <xf numFmtId="0" fontId="18" fillId="137" borderId="0" xfId="0" applyFont="1" applyFill="1"/>
    <xf numFmtId="0" fontId="18" fillId="137" borderId="14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600528</xdr:colOff>
          <xdr:row>2</xdr:row>
          <xdr:rowOff>10886</xdr:rowOff>
        </xdr:from>
        <xdr:to>
          <xdr:col>44</xdr:col>
          <xdr:colOff>367618</xdr:colOff>
          <xdr:row>92</xdr:row>
          <xdr:rowOff>16556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591003</xdr:colOff>
          <xdr:row>1</xdr:row>
          <xdr:rowOff>178934</xdr:rowOff>
        </xdr:from>
        <xdr:to>
          <xdr:col>46</xdr:col>
          <xdr:colOff>457653</xdr:colOff>
          <xdr:row>91</xdr:row>
          <xdr:rowOff>150359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307"/>
  <sheetViews>
    <sheetView tabSelected="1" zoomScale="84" zoomScaleNormal="100" workbookViewId="0">
      <pane ySplit="2" topLeftCell="A67" activePane="bottomLeft" state="frozen"/>
      <selection activeCell="B1" sqref="B1"/>
      <selection pane="bottomLeft" activeCell="AQ78" sqref="AQ78:AQ97"/>
    </sheetView>
  </sheetViews>
  <sheetFormatPr defaultColWidth="9.1328125" defaultRowHeight="14.25" x14ac:dyDescent="0.45"/>
  <cols>
    <col min="1" max="1" width="9.1328125" style="1"/>
    <col min="2" max="2" width="30.3984375" style="1" bestFit="1" customWidth="1"/>
    <col min="3" max="5" width="4" style="1" bestFit="1" customWidth="1"/>
    <col min="6" max="6" width="1.73046875" style="1" customWidth="1"/>
    <col min="7" max="9" width="4" style="1" bestFit="1" customWidth="1"/>
    <col min="10" max="10" width="1.73046875" style="1" customWidth="1"/>
    <col min="11" max="13" width="4" style="1" bestFit="1" customWidth="1"/>
    <col min="14" max="14" width="1.73046875" style="1" customWidth="1"/>
    <col min="15" max="17" width="4.265625" style="1" bestFit="1" customWidth="1"/>
    <col min="18" max="18" width="1.73046875" style="1" customWidth="1"/>
    <col min="19" max="21" width="4.265625" style="1" bestFit="1" customWidth="1"/>
    <col min="22" max="22" width="1.73046875" style="1" customWidth="1"/>
    <col min="23" max="25" width="4.265625" style="1" bestFit="1" customWidth="1"/>
    <col min="26" max="26" width="1.73046875" style="1" customWidth="1"/>
    <col min="27" max="27" width="10" style="1" bestFit="1" customWidth="1"/>
    <col min="28" max="28" width="1.73046875" style="1" customWidth="1"/>
    <col min="29" max="29" width="10" style="1" bestFit="1" customWidth="1"/>
    <col min="30" max="30" width="1.73046875" style="1" customWidth="1"/>
    <col min="31" max="31" width="10" style="1" bestFit="1" customWidth="1"/>
    <col min="32" max="32" width="1.73046875" style="1" customWidth="1"/>
    <col min="33" max="33" width="10" style="1" bestFit="1" customWidth="1"/>
    <col min="34" max="37" width="0" style="1" hidden="1" customWidth="1"/>
    <col min="38" max="38" width="1.73046875" style="1" customWidth="1"/>
    <col min="39" max="39" width="10" style="1" bestFit="1" customWidth="1"/>
    <col min="40" max="40" width="1.73046875" style="1" customWidth="1"/>
    <col min="41" max="41" width="10" style="1" bestFit="1" customWidth="1"/>
    <col min="42" max="42" width="2.86328125" style="1" customWidth="1"/>
    <col min="43" max="16384" width="9.1328125" style="1"/>
  </cols>
  <sheetData>
    <row r="1" spans="1:43" x14ac:dyDescent="0.45">
      <c r="A1" s="1" t="str">
        <f>A3</f>
        <v>id</v>
      </c>
      <c r="B1" s="1" t="str">
        <f>B3</f>
        <v>Description</v>
      </c>
      <c r="C1" s="1" t="str">
        <f>CONCATENATE(C2," ",C3)</f>
        <v>living room 1 R</v>
      </c>
      <c r="D1" s="1" t="str">
        <f>CONCATENATE(C2," ",D3)</f>
        <v>living room 1 G</v>
      </c>
      <c r="E1" s="1" t="str">
        <f>CONCATENATE(C2," ",E3)</f>
        <v>living room 1 B</v>
      </c>
      <c r="G1" s="1" t="str">
        <f>CONCATENATE(G2," ",G3)</f>
        <v>living room 2 R</v>
      </c>
      <c r="H1" s="1" t="str">
        <f>CONCATENATE(G2," ",H3)</f>
        <v>living room 2 G</v>
      </c>
      <c r="I1" s="1" t="str">
        <f>CONCATENATE(G2," ",I3)</f>
        <v>living room 2 B</v>
      </c>
      <c r="K1" s="1" t="str">
        <f>CONCATENATE(K2," ",K3)</f>
        <v>living room 3 R</v>
      </c>
      <c r="L1" s="1" t="str">
        <f>CONCATENATE(K2," ",L3)</f>
        <v>living room 3 G</v>
      </c>
      <c r="M1" s="1" t="str">
        <f>CONCATENATE(K2," ",M3)</f>
        <v>living room 3 B</v>
      </c>
      <c r="O1" s="1" t="str">
        <f>CONCATENATE(O2," ",O3)</f>
        <v>bedroom 1 R</v>
      </c>
      <c r="P1" s="1" t="str">
        <f>CONCATENATE(O2," ",P3)</f>
        <v>bedroom 1 G</v>
      </c>
      <c r="Q1" s="1" t="str">
        <f>CONCATENATE(O2," ",Q3)</f>
        <v>bedroom 1 B</v>
      </c>
      <c r="S1" s="1" t="str">
        <f>CONCATENATE(S2," ",S3)</f>
        <v>bedroom 2 R</v>
      </c>
      <c r="T1" s="1" t="str">
        <f>CONCATENATE(S2," ",T3)</f>
        <v>bedroom 2 G</v>
      </c>
      <c r="U1" s="1" t="str">
        <f>CONCATENATE(S2," ",U3)</f>
        <v>bedroom 2 B</v>
      </c>
      <c r="W1" s="1" t="str">
        <f>CONCATENATE(W2," ",W3)</f>
        <v>lightpack R</v>
      </c>
      <c r="X1" s="1" t="str">
        <f>CONCATENATE(W2," ",X3)</f>
        <v>lightpack G</v>
      </c>
      <c r="Y1" s="1" t="str">
        <f>CONCATENATE(W2," ",Y3)</f>
        <v>lightpack B</v>
      </c>
      <c r="AA1" s="1" t="str">
        <f>CONCATENATE(AA2," ",AA3)</f>
        <v>bathroom 1 bri</v>
      </c>
      <c r="AC1" s="1" t="str">
        <f>CONCATENATE(AC2," ",AC3)</f>
        <v>bathroom 2 bri</v>
      </c>
      <c r="AE1" s="1" t="str">
        <f>CONCATENATE(AE2," ",AE3)</f>
        <v>bathroom 3 bri</v>
      </c>
      <c r="AG1" s="1" t="str">
        <f>CONCATENATE(AG2," ",AG3)</f>
        <v>bathroom 4 bri</v>
      </c>
      <c r="AM1" s="1" t="str">
        <f>CONCATENATE(AM2," ",AM3)</f>
        <v>entryway 1 bri</v>
      </c>
      <c r="AO1" s="1" t="str">
        <f>CONCATENATE(AO2," ",AO3)</f>
        <v>dressing room bri</v>
      </c>
      <c r="AQ1" s="1" t="s">
        <v>99</v>
      </c>
    </row>
    <row r="2" spans="1:43" ht="14.65" thickBot="1" x14ac:dyDescent="0.5">
      <c r="C2" s="44" t="s">
        <v>75</v>
      </c>
      <c r="E2" s="44"/>
      <c r="F2" s="44"/>
      <c r="G2" s="44" t="s">
        <v>76</v>
      </c>
      <c r="H2" s="44"/>
      <c r="I2" s="44"/>
      <c r="J2" s="44"/>
      <c r="K2" s="44" t="s">
        <v>89</v>
      </c>
      <c r="L2" s="44"/>
      <c r="M2" s="44"/>
      <c r="N2" s="44"/>
      <c r="O2" s="44" t="s">
        <v>78</v>
      </c>
      <c r="R2" s="44"/>
      <c r="S2" s="44" t="s">
        <v>79</v>
      </c>
      <c r="V2" s="44"/>
      <c r="W2" s="44" t="s">
        <v>90</v>
      </c>
      <c r="Z2" s="44"/>
      <c r="AA2" s="44" t="s">
        <v>92</v>
      </c>
      <c r="AB2" s="44"/>
      <c r="AC2" s="44" t="s">
        <v>81</v>
      </c>
      <c r="AD2" s="44"/>
      <c r="AE2" s="44" t="s">
        <v>82</v>
      </c>
      <c r="AF2" s="44"/>
      <c r="AG2" s="44" t="s">
        <v>83</v>
      </c>
      <c r="AL2" s="44"/>
      <c r="AM2" s="44" t="s">
        <v>77</v>
      </c>
      <c r="AN2" s="44"/>
      <c r="AO2" s="44" t="s">
        <v>93</v>
      </c>
    </row>
    <row r="3" spans="1:43" x14ac:dyDescent="0.45">
      <c r="A3" s="1" t="s">
        <v>84</v>
      </c>
      <c r="B3" s="1" t="s">
        <v>0</v>
      </c>
      <c r="C3" s="9" t="s">
        <v>72</v>
      </c>
      <c r="D3" s="10" t="s">
        <v>73</v>
      </c>
      <c r="E3" s="11" t="s">
        <v>74</v>
      </c>
      <c r="F3" s="10"/>
      <c r="G3" s="9" t="s">
        <v>72</v>
      </c>
      <c r="H3" s="10" t="s">
        <v>73</v>
      </c>
      <c r="I3" s="11" t="s">
        <v>74</v>
      </c>
      <c r="J3" s="10"/>
      <c r="K3" s="9" t="s">
        <v>72</v>
      </c>
      <c r="L3" s="10" t="s">
        <v>73</v>
      </c>
      <c r="M3" s="11" t="s">
        <v>74</v>
      </c>
      <c r="N3" s="10"/>
      <c r="O3" s="9" t="s">
        <v>72</v>
      </c>
      <c r="P3" s="10" t="s">
        <v>73</v>
      </c>
      <c r="Q3" s="11" t="s">
        <v>74</v>
      </c>
      <c r="R3" s="10"/>
      <c r="S3" s="9" t="s">
        <v>72</v>
      </c>
      <c r="T3" s="10" t="s">
        <v>73</v>
      </c>
      <c r="U3" s="11" t="s">
        <v>74</v>
      </c>
      <c r="V3" s="10"/>
      <c r="W3" s="9" t="s">
        <v>72</v>
      </c>
      <c r="X3" s="10" t="s">
        <v>73</v>
      </c>
      <c r="Y3" s="11" t="s">
        <v>74</v>
      </c>
      <c r="Z3" s="10"/>
      <c r="AA3" s="62" t="s">
        <v>80</v>
      </c>
      <c r="AB3" s="10"/>
      <c r="AC3" s="62" t="s">
        <v>80</v>
      </c>
      <c r="AD3" s="10"/>
      <c r="AE3" s="62" t="s">
        <v>80</v>
      </c>
      <c r="AF3" s="10"/>
      <c r="AG3" s="62" t="s">
        <v>80</v>
      </c>
      <c r="AL3" s="10"/>
      <c r="AM3" s="62" t="s">
        <v>80</v>
      </c>
      <c r="AN3" s="10"/>
      <c r="AO3" s="62" t="s">
        <v>80</v>
      </c>
    </row>
    <row r="4" spans="1:43" x14ac:dyDescent="0.45">
      <c r="A4" s="1">
        <v>200</v>
      </c>
      <c r="B4" s="1" t="s">
        <v>1</v>
      </c>
      <c r="C4" s="93">
        <v>254</v>
      </c>
      <c r="D4" s="94">
        <v>239</v>
      </c>
      <c r="E4" s="95">
        <v>87</v>
      </c>
      <c r="F4" s="60"/>
      <c r="G4" s="77">
        <v>230</v>
      </c>
      <c r="H4" s="78">
        <v>150</v>
      </c>
      <c r="I4" s="79">
        <v>250</v>
      </c>
      <c r="J4" s="60"/>
      <c r="K4" s="68">
        <v>160</v>
      </c>
      <c r="L4" s="69">
        <v>100</v>
      </c>
      <c r="M4" s="70">
        <v>200</v>
      </c>
      <c r="N4" s="60"/>
      <c r="O4" s="68">
        <v>160</v>
      </c>
      <c r="P4" s="69">
        <v>100</v>
      </c>
      <c r="Q4" s="70">
        <v>200</v>
      </c>
      <c r="R4" s="60"/>
      <c r="S4" s="93">
        <v>254</v>
      </c>
      <c r="T4" s="94">
        <v>239</v>
      </c>
      <c r="U4" s="95">
        <v>87</v>
      </c>
      <c r="V4" s="60"/>
      <c r="W4" s="147">
        <v>254</v>
      </c>
      <c r="X4" s="148">
        <v>254</v>
      </c>
      <c r="Y4" s="149">
        <v>254</v>
      </c>
      <c r="Z4" s="60"/>
      <c r="AA4" s="89">
        <v>180</v>
      </c>
      <c r="AB4" s="61"/>
      <c r="AC4" s="89">
        <v>180</v>
      </c>
      <c r="AD4" s="61"/>
      <c r="AE4" s="63">
        <v>200</v>
      </c>
      <c r="AF4" s="61"/>
      <c r="AG4" s="63">
        <v>200</v>
      </c>
      <c r="AL4" s="61"/>
      <c r="AM4" s="63">
        <v>200</v>
      </c>
      <c r="AN4" s="61"/>
      <c r="AO4" s="63">
        <v>200</v>
      </c>
    </row>
    <row r="5" spans="1:43" x14ac:dyDescent="0.45">
      <c r="A5" s="1">
        <v>201</v>
      </c>
      <c r="B5" s="1" t="s">
        <v>2</v>
      </c>
      <c r="C5" s="93">
        <v>254</v>
      </c>
      <c r="D5" s="94">
        <v>239</v>
      </c>
      <c r="E5" s="95">
        <v>87</v>
      </c>
      <c r="F5" s="60"/>
      <c r="G5" s="77">
        <v>230</v>
      </c>
      <c r="H5" s="78">
        <v>150</v>
      </c>
      <c r="I5" s="79">
        <v>250</v>
      </c>
      <c r="J5" s="60"/>
      <c r="K5" s="65">
        <v>180</v>
      </c>
      <c r="L5" s="66">
        <v>100</v>
      </c>
      <c r="M5" s="67">
        <v>200</v>
      </c>
      <c r="N5" s="60"/>
      <c r="O5" s="65">
        <v>180</v>
      </c>
      <c r="P5" s="66">
        <v>100</v>
      </c>
      <c r="Q5" s="67">
        <v>200</v>
      </c>
      <c r="R5" s="60"/>
      <c r="S5" s="93">
        <v>254</v>
      </c>
      <c r="T5" s="94">
        <v>239</v>
      </c>
      <c r="U5" s="95">
        <v>87</v>
      </c>
      <c r="V5" s="60"/>
      <c r="W5" s="93">
        <v>254</v>
      </c>
      <c r="X5" s="94">
        <v>239</v>
      </c>
      <c r="Y5" s="95">
        <v>87</v>
      </c>
      <c r="Z5" s="60"/>
      <c r="AA5" s="89">
        <v>180</v>
      </c>
      <c r="AB5" s="61"/>
      <c r="AC5" s="89">
        <v>180</v>
      </c>
      <c r="AD5" s="61"/>
      <c r="AE5" s="63">
        <v>200</v>
      </c>
      <c r="AF5" s="61"/>
      <c r="AG5" s="63">
        <v>200</v>
      </c>
      <c r="AH5" s="49"/>
      <c r="AI5" s="49"/>
      <c r="AJ5" s="49"/>
      <c r="AL5" s="61"/>
      <c r="AM5" s="63">
        <v>200</v>
      </c>
      <c r="AN5" s="61"/>
      <c r="AO5" s="63">
        <v>200</v>
      </c>
    </row>
    <row r="6" spans="1:43" x14ac:dyDescent="0.45">
      <c r="A6" s="1">
        <v>202</v>
      </c>
      <c r="B6" s="1" t="s">
        <v>3</v>
      </c>
      <c r="C6" s="93">
        <v>254</v>
      </c>
      <c r="D6" s="94">
        <v>239</v>
      </c>
      <c r="E6" s="95">
        <v>87</v>
      </c>
      <c r="F6" s="61"/>
      <c r="G6" s="80">
        <v>250</v>
      </c>
      <c r="H6" s="81">
        <v>150</v>
      </c>
      <c r="I6" s="82">
        <v>250</v>
      </c>
      <c r="J6" s="61"/>
      <c r="K6" s="71">
        <v>200</v>
      </c>
      <c r="L6" s="72">
        <v>100</v>
      </c>
      <c r="M6" s="73">
        <v>200</v>
      </c>
      <c r="N6" s="61"/>
      <c r="O6" s="71">
        <v>200</v>
      </c>
      <c r="P6" s="72">
        <v>100</v>
      </c>
      <c r="Q6" s="73">
        <v>200</v>
      </c>
      <c r="R6" s="61"/>
      <c r="S6" s="93">
        <v>254</v>
      </c>
      <c r="T6" s="94">
        <v>239</v>
      </c>
      <c r="U6" s="95">
        <v>87</v>
      </c>
      <c r="V6" s="61"/>
      <c r="W6" s="93">
        <v>254</v>
      </c>
      <c r="X6" s="94">
        <v>239</v>
      </c>
      <c r="Y6" s="95">
        <v>87</v>
      </c>
      <c r="Z6" s="61"/>
      <c r="AA6" s="89">
        <v>180</v>
      </c>
      <c r="AB6" s="61"/>
      <c r="AC6" s="89">
        <v>180</v>
      </c>
      <c r="AD6" s="61"/>
      <c r="AE6" s="63">
        <v>200</v>
      </c>
      <c r="AF6" s="61"/>
      <c r="AG6" s="63">
        <v>200</v>
      </c>
      <c r="AH6" s="50"/>
      <c r="AI6" s="50"/>
      <c r="AJ6" s="50"/>
      <c r="AL6" s="61"/>
      <c r="AM6" s="63">
        <v>200</v>
      </c>
      <c r="AN6" s="61"/>
      <c r="AO6" s="63">
        <v>200</v>
      </c>
    </row>
    <row r="7" spans="1:43" x14ac:dyDescent="0.45">
      <c r="A7" s="1">
        <v>210</v>
      </c>
      <c r="B7" s="1" t="s">
        <v>4</v>
      </c>
      <c r="C7" s="93">
        <v>254</v>
      </c>
      <c r="D7" s="94">
        <v>239</v>
      </c>
      <c r="E7" s="95">
        <v>87</v>
      </c>
      <c r="F7" s="60"/>
      <c r="G7" s="83">
        <v>210</v>
      </c>
      <c r="H7" s="84">
        <v>150</v>
      </c>
      <c r="I7" s="85">
        <v>210</v>
      </c>
      <c r="J7" s="60"/>
      <c r="K7" s="74">
        <v>160</v>
      </c>
      <c r="L7" s="75">
        <v>100</v>
      </c>
      <c r="M7" s="76">
        <v>160</v>
      </c>
      <c r="N7" s="60"/>
      <c r="O7" s="74">
        <v>160</v>
      </c>
      <c r="P7" s="75">
        <v>100</v>
      </c>
      <c r="Q7" s="76">
        <v>160</v>
      </c>
      <c r="R7" s="60"/>
      <c r="S7" s="93">
        <v>254</v>
      </c>
      <c r="T7" s="94">
        <v>239</v>
      </c>
      <c r="U7" s="95">
        <v>87</v>
      </c>
      <c r="V7" s="60"/>
      <c r="W7" s="93">
        <v>254</v>
      </c>
      <c r="X7" s="94">
        <v>239</v>
      </c>
      <c r="Y7" s="95">
        <v>87</v>
      </c>
      <c r="Z7" s="60"/>
      <c r="AA7" s="89">
        <v>180</v>
      </c>
      <c r="AB7" s="61"/>
      <c r="AC7" s="89">
        <v>180</v>
      </c>
      <c r="AD7" s="61"/>
      <c r="AE7" s="63">
        <v>200</v>
      </c>
      <c r="AF7" s="61"/>
      <c r="AG7" s="63">
        <v>200</v>
      </c>
      <c r="AH7" s="4"/>
      <c r="AI7" s="45"/>
      <c r="AJ7" s="4"/>
      <c r="AL7" s="61"/>
      <c r="AM7" s="63">
        <v>200</v>
      </c>
      <c r="AN7" s="61"/>
      <c r="AO7" s="63">
        <v>200</v>
      </c>
    </row>
    <row r="8" spans="1:43" x14ac:dyDescent="0.45">
      <c r="A8" s="1">
        <v>211</v>
      </c>
      <c r="B8" s="1" t="s">
        <v>5</v>
      </c>
      <c r="C8" s="93">
        <v>254</v>
      </c>
      <c r="D8" s="94">
        <v>239</v>
      </c>
      <c r="E8" s="95">
        <v>87</v>
      </c>
      <c r="F8" s="61"/>
      <c r="G8" s="80">
        <v>250</v>
      </c>
      <c r="H8" s="81">
        <v>150</v>
      </c>
      <c r="I8" s="82">
        <v>250</v>
      </c>
      <c r="J8" s="61"/>
      <c r="K8" s="71">
        <v>200</v>
      </c>
      <c r="L8" s="72">
        <v>100</v>
      </c>
      <c r="M8" s="73">
        <v>200</v>
      </c>
      <c r="N8" s="61"/>
      <c r="O8" s="71">
        <v>200</v>
      </c>
      <c r="P8" s="72">
        <v>100</v>
      </c>
      <c r="Q8" s="73">
        <v>200</v>
      </c>
      <c r="R8" s="61"/>
      <c r="S8" s="93">
        <v>254</v>
      </c>
      <c r="T8" s="94">
        <v>239</v>
      </c>
      <c r="U8" s="95">
        <v>87</v>
      </c>
      <c r="V8" s="61"/>
      <c r="W8" s="93">
        <v>254</v>
      </c>
      <c r="X8" s="94">
        <v>239</v>
      </c>
      <c r="Y8" s="95">
        <v>87</v>
      </c>
      <c r="Z8" s="61"/>
      <c r="AA8" s="64">
        <v>50</v>
      </c>
      <c r="AB8" s="61"/>
      <c r="AC8" s="64">
        <v>50</v>
      </c>
      <c r="AD8" s="61"/>
      <c r="AE8" s="63">
        <v>200</v>
      </c>
      <c r="AF8" s="61"/>
      <c r="AG8" s="63">
        <v>200</v>
      </c>
      <c r="AH8" s="49"/>
      <c r="AI8" s="49"/>
      <c r="AJ8" s="49"/>
      <c r="AL8" s="61"/>
      <c r="AM8" s="63">
        <v>200</v>
      </c>
      <c r="AN8" s="61"/>
      <c r="AO8" s="63">
        <v>200</v>
      </c>
    </row>
    <row r="9" spans="1:43" hidden="1" x14ac:dyDescent="0.45">
      <c r="A9" s="1">
        <v>212</v>
      </c>
      <c r="B9" s="1" t="s">
        <v>6</v>
      </c>
      <c r="C9" s="93">
        <v>254</v>
      </c>
      <c r="D9" s="94">
        <v>239</v>
      </c>
      <c r="E9" s="95">
        <v>87</v>
      </c>
      <c r="F9" s="61"/>
      <c r="G9" s="26">
        <v>40</v>
      </c>
      <c r="H9" s="27">
        <v>50</v>
      </c>
      <c r="I9" s="28">
        <v>200</v>
      </c>
      <c r="J9" s="61"/>
      <c r="K9" s="26">
        <v>40</v>
      </c>
      <c r="L9" s="27">
        <v>50</v>
      </c>
      <c r="M9" s="28">
        <v>200</v>
      </c>
      <c r="N9" s="61"/>
      <c r="O9" s="26">
        <v>40</v>
      </c>
      <c r="P9" s="27">
        <v>50</v>
      </c>
      <c r="Q9" s="28">
        <v>200</v>
      </c>
      <c r="R9" s="61"/>
      <c r="S9" s="93">
        <v>254</v>
      </c>
      <c r="T9" s="94">
        <v>239</v>
      </c>
      <c r="U9" s="95">
        <v>87</v>
      </c>
      <c r="V9" s="61"/>
      <c r="W9" s="93">
        <v>254</v>
      </c>
      <c r="X9" s="94">
        <v>239</v>
      </c>
      <c r="Y9" s="95">
        <v>87</v>
      </c>
      <c r="Z9" s="61"/>
      <c r="AA9" s="89">
        <v>180</v>
      </c>
      <c r="AB9" s="61"/>
      <c r="AC9" s="89">
        <v>180</v>
      </c>
      <c r="AD9" s="61"/>
      <c r="AE9" s="63">
        <v>200</v>
      </c>
      <c r="AF9" s="61"/>
      <c r="AG9" s="63">
        <v>200</v>
      </c>
      <c r="AH9" s="50"/>
      <c r="AI9" s="50"/>
      <c r="AJ9" s="50"/>
      <c r="AL9" s="61"/>
      <c r="AM9" s="63">
        <v>200</v>
      </c>
      <c r="AN9" s="61"/>
      <c r="AO9" s="63">
        <v>200</v>
      </c>
    </row>
    <row r="10" spans="1:43" hidden="1" x14ac:dyDescent="0.45">
      <c r="A10" s="1">
        <v>221</v>
      </c>
      <c r="B10" s="1" t="s">
        <v>7</v>
      </c>
      <c r="C10" s="93">
        <v>254</v>
      </c>
      <c r="D10" s="94">
        <v>239</v>
      </c>
      <c r="E10" s="95">
        <v>87</v>
      </c>
      <c r="F10" s="61"/>
      <c r="G10" s="26">
        <v>40</v>
      </c>
      <c r="H10" s="27">
        <v>50</v>
      </c>
      <c r="I10" s="28">
        <v>200</v>
      </c>
      <c r="J10" s="61"/>
      <c r="K10" s="26">
        <v>40</v>
      </c>
      <c r="L10" s="27">
        <v>50</v>
      </c>
      <c r="M10" s="28">
        <v>200</v>
      </c>
      <c r="N10" s="61"/>
      <c r="O10" s="26">
        <v>40</v>
      </c>
      <c r="P10" s="27">
        <v>50</v>
      </c>
      <c r="Q10" s="28">
        <v>200</v>
      </c>
      <c r="R10" s="61"/>
      <c r="S10" s="93">
        <v>254</v>
      </c>
      <c r="T10" s="94">
        <v>239</v>
      </c>
      <c r="U10" s="95">
        <v>87</v>
      </c>
      <c r="V10" s="61"/>
      <c r="W10" s="93">
        <v>254</v>
      </c>
      <c r="X10" s="94">
        <v>239</v>
      </c>
      <c r="Y10" s="95">
        <v>87</v>
      </c>
      <c r="Z10" s="61"/>
      <c r="AA10" s="89">
        <v>180</v>
      </c>
      <c r="AB10" s="61"/>
      <c r="AC10" s="89">
        <v>180</v>
      </c>
      <c r="AD10" s="61"/>
      <c r="AE10" s="63">
        <v>200</v>
      </c>
      <c r="AF10" s="61"/>
      <c r="AG10" s="63">
        <v>200</v>
      </c>
      <c r="AH10" s="50"/>
      <c r="AI10" s="50"/>
      <c r="AJ10" s="50"/>
      <c r="AL10" s="61"/>
      <c r="AM10" s="63">
        <v>200</v>
      </c>
      <c r="AN10" s="61"/>
      <c r="AO10" s="63">
        <v>200</v>
      </c>
    </row>
    <row r="11" spans="1:43" hidden="1" x14ac:dyDescent="0.45">
      <c r="A11" s="1">
        <v>230</v>
      </c>
      <c r="B11" s="1" t="s">
        <v>8</v>
      </c>
      <c r="C11" s="93">
        <v>254</v>
      </c>
      <c r="D11" s="94">
        <v>239</v>
      </c>
      <c r="E11" s="95">
        <v>87</v>
      </c>
      <c r="F11" s="61"/>
      <c r="G11" s="99">
        <v>0</v>
      </c>
      <c r="H11" s="100">
        <v>188</v>
      </c>
      <c r="I11" s="101">
        <v>254</v>
      </c>
      <c r="J11" s="61"/>
      <c r="K11" s="99">
        <v>0</v>
      </c>
      <c r="L11" s="100">
        <v>188</v>
      </c>
      <c r="M11" s="101">
        <v>254</v>
      </c>
      <c r="N11" s="61"/>
      <c r="O11" s="99">
        <v>0</v>
      </c>
      <c r="P11" s="100">
        <v>188</v>
      </c>
      <c r="Q11" s="101">
        <v>254</v>
      </c>
      <c r="R11" s="61"/>
      <c r="S11" s="93">
        <v>254</v>
      </c>
      <c r="T11" s="94">
        <v>239</v>
      </c>
      <c r="U11" s="95">
        <v>87</v>
      </c>
      <c r="V11" s="61"/>
      <c r="W11" s="93">
        <v>254</v>
      </c>
      <c r="X11" s="94">
        <v>239</v>
      </c>
      <c r="Y11" s="95">
        <v>87</v>
      </c>
      <c r="Z11" s="61"/>
      <c r="AA11" s="89">
        <v>180</v>
      </c>
      <c r="AB11" s="61"/>
      <c r="AC11" s="89">
        <v>180</v>
      </c>
      <c r="AD11" s="61"/>
      <c r="AE11" s="63">
        <v>200</v>
      </c>
      <c r="AF11" s="61"/>
      <c r="AG11" s="63">
        <v>200</v>
      </c>
      <c r="AH11" s="4"/>
      <c r="AI11" s="4"/>
      <c r="AJ11" s="4"/>
      <c r="AL11" s="61"/>
      <c r="AM11" s="63">
        <v>200</v>
      </c>
      <c r="AN11" s="61"/>
      <c r="AO11" s="63">
        <v>200</v>
      </c>
    </row>
    <row r="12" spans="1:43" x14ac:dyDescent="0.45">
      <c r="A12" s="1">
        <v>231</v>
      </c>
      <c r="B12" s="1" t="s">
        <v>9</v>
      </c>
      <c r="C12" s="93">
        <v>254</v>
      </c>
      <c r="D12" s="94">
        <v>239</v>
      </c>
      <c r="E12" s="95">
        <v>87</v>
      </c>
      <c r="F12" s="61"/>
      <c r="G12" s="80">
        <v>250</v>
      </c>
      <c r="H12" s="81">
        <v>150</v>
      </c>
      <c r="I12" s="82">
        <v>250</v>
      </c>
      <c r="J12" s="61"/>
      <c r="K12" s="71">
        <v>200</v>
      </c>
      <c r="L12" s="72">
        <v>100</v>
      </c>
      <c r="M12" s="73">
        <v>200</v>
      </c>
      <c r="N12" s="61"/>
      <c r="O12" s="71">
        <v>200</v>
      </c>
      <c r="P12" s="72">
        <v>100</v>
      </c>
      <c r="Q12" s="73">
        <v>200</v>
      </c>
      <c r="R12" s="61"/>
      <c r="S12" s="93">
        <v>254</v>
      </c>
      <c r="T12" s="94">
        <v>239</v>
      </c>
      <c r="U12" s="95">
        <v>87</v>
      </c>
      <c r="V12" s="61"/>
      <c r="W12" s="93">
        <v>254</v>
      </c>
      <c r="X12" s="94">
        <v>239</v>
      </c>
      <c r="Y12" s="95">
        <v>87</v>
      </c>
      <c r="Z12" s="61"/>
      <c r="AA12" s="89">
        <v>180</v>
      </c>
      <c r="AB12" s="61"/>
      <c r="AC12" s="89">
        <v>180</v>
      </c>
      <c r="AD12" s="61"/>
      <c r="AE12" s="63">
        <v>200</v>
      </c>
      <c r="AF12" s="61"/>
      <c r="AG12" s="63">
        <v>200</v>
      </c>
      <c r="AH12" s="4"/>
      <c r="AI12" s="4"/>
      <c r="AJ12" s="4"/>
      <c r="AL12" s="61"/>
      <c r="AM12" s="63">
        <v>200</v>
      </c>
      <c r="AN12" s="61"/>
      <c r="AO12" s="63">
        <v>200</v>
      </c>
    </row>
    <row r="13" spans="1:43" x14ac:dyDescent="0.45">
      <c r="A13" s="1">
        <v>232</v>
      </c>
      <c r="B13" s="1" t="s">
        <v>10</v>
      </c>
      <c r="C13" s="93">
        <v>254</v>
      </c>
      <c r="D13" s="94">
        <v>239</v>
      </c>
      <c r="E13" s="95">
        <v>87</v>
      </c>
      <c r="F13" s="61"/>
      <c r="G13" s="80">
        <v>250</v>
      </c>
      <c r="H13" s="81">
        <v>150</v>
      </c>
      <c r="I13" s="82">
        <v>250</v>
      </c>
      <c r="J13" s="61"/>
      <c r="K13" s="71">
        <v>200</v>
      </c>
      <c r="L13" s="72">
        <v>100</v>
      </c>
      <c r="M13" s="73">
        <v>200</v>
      </c>
      <c r="N13" s="61"/>
      <c r="O13" s="71">
        <v>200</v>
      </c>
      <c r="P13" s="72">
        <v>100</v>
      </c>
      <c r="Q13" s="73">
        <v>200</v>
      </c>
      <c r="R13" s="61"/>
      <c r="S13" s="93">
        <v>254</v>
      </c>
      <c r="T13" s="94">
        <v>239</v>
      </c>
      <c r="U13" s="95">
        <v>87</v>
      </c>
      <c r="V13" s="61"/>
      <c r="W13" s="93">
        <v>254</v>
      </c>
      <c r="X13" s="94">
        <v>239</v>
      </c>
      <c r="Y13" s="95">
        <v>87</v>
      </c>
      <c r="Z13" s="61"/>
      <c r="AA13" s="89">
        <v>180</v>
      </c>
      <c r="AB13" s="61"/>
      <c r="AC13" s="89">
        <v>180</v>
      </c>
      <c r="AD13" s="61"/>
      <c r="AE13" s="63">
        <v>200</v>
      </c>
      <c r="AF13" s="61"/>
      <c r="AG13" s="63">
        <v>200</v>
      </c>
      <c r="AH13" s="51"/>
      <c r="AI13" s="51"/>
      <c r="AJ13" s="51"/>
      <c r="AL13" s="61"/>
      <c r="AM13" s="63">
        <v>200</v>
      </c>
      <c r="AN13" s="61"/>
      <c r="AO13" s="63">
        <v>200</v>
      </c>
    </row>
    <row r="14" spans="1:43" x14ac:dyDescent="0.45">
      <c r="A14" s="1">
        <v>300</v>
      </c>
      <c r="B14" s="1" t="s">
        <v>11</v>
      </c>
      <c r="C14" s="93">
        <v>254</v>
      </c>
      <c r="D14" s="94">
        <v>239</v>
      </c>
      <c r="E14" s="95">
        <v>87</v>
      </c>
      <c r="F14" s="61"/>
      <c r="G14" s="86">
        <v>250</v>
      </c>
      <c r="H14" s="87">
        <v>150</v>
      </c>
      <c r="I14" s="88">
        <v>200</v>
      </c>
      <c r="J14" s="61"/>
      <c r="K14" s="71">
        <v>200</v>
      </c>
      <c r="L14" s="72">
        <v>100</v>
      </c>
      <c r="M14" s="73">
        <v>200</v>
      </c>
      <c r="N14" s="61"/>
      <c r="O14" s="71">
        <v>200</v>
      </c>
      <c r="P14" s="72">
        <v>100</v>
      </c>
      <c r="Q14" s="73">
        <v>200</v>
      </c>
      <c r="R14" s="61"/>
      <c r="S14" s="162">
        <v>254</v>
      </c>
      <c r="T14" s="163">
        <v>254</v>
      </c>
      <c r="U14" s="164">
        <v>80</v>
      </c>
      <c r="V14" s="61"/>
      <c r="W14" s="162">
        <v>254</v>
      </c>
      <c r="X14" s="163">
        <v>254</v>
      </c>
      <c r="Y14" s="164">
        <v>80</v>
      </c>
      <c r="Z14" s="61"/>
      <c r="AA14" s="89">
        <v>180</v>
      </c>
      <c r="AB14" s="61"/>
      <c r="AC14" s="89">
        <v>180</v>
      </c>
      <c r="AD14" s="61"/>
      <c r="AE14" s="63">
        <v>200</v>
      </c>
      <c r="AF14" s="61"/>
      <c r="AG14" s="63">
        <v>200</v>
      </c>
      <c r="AH14" s="45"/>
      <c r="AI14" s="45"/>
      <c r="AJ14" s="45"/>
      <c r="AL14" s="61"/>
      <c r="AM14" s="63">
        <v>200</v>
      </c>
      <c r="AN14" s="61"/>
      <c r="AO14" s="63">
        <v>200</v>
      </c>
    </row>
    <row r="15" spans="1:43" x14ac:dyDescent="0.45">
      <c r="A15" s="1">
        <v>301</v>
      </c>
      <c r="B15" s="1" t="s">
        <v>12</v>
      </c>
      <c r="C15" s="96">
        <v>150</v>
      </c>
      <c r="D15" s="97">
        <v>254</v>
      </c>
      <c r="E15" s="98">
        <v>254</v>
      </c>
      <c r="F15" s="61"/>
      <c r="G15" s="129">
        <v>254</v>
      </c>
      <c r="H15" s="130">
        <v>140</v>
      </c>
      <c r="I15" s="131">
        <v>210</v>
      </c>
      <c r="J15" s="61"/>
      <c r="K15" s="96">
        <v>150</v>
      </c>
      <c r="L15" s="97">
        <v>254</v>
      </c>
      <c r="M15" s="98">
        <v>254</v>
      </c>
      <c r="N15" s="61"/>
      <c r="O15" s="96">
        <v>150</v>
      </c>
      <c r="P15" s="97">
        <v>254</v>
      </c>
      <c r="Q15" s="98">
        <v>254</v>
      </c>
      <c r="R15" s="61"/>
      <c r="S15" s="86">
        <v>250</v>
      </c>
      <c r="T15" s="87">
        <v>150</v>
      </c>
      <c r="U15" s="88">
        <v>200</v>
      </c>
      <c r="V15" s="61"/>
      <c r="W15" s="86">
        <v>250</v>
      </c>
      <c r="X15" s="87">
        <v>150</v>
      </c>
      <c r="Y15" s="88">
        <v>200</v>
      </c>
      <c r="Z15" s="61"/>
      <c r="AA15" s="89">
        <v>180</v>
      </c>
      <c r="AB15" s="61"/>
      <c r="AC15" s="89">
        <v>180</v>
      </c>
      <c r="AD15" s="61"/>
      <c r="AE15" s="63">
        <v>200</v>
      </c>
      <c r="AF15" s="61"/>
      <c r="AG15" s="63">
        <v>200</v>
      </c>
      <c r="AH15" s="45"/>
      <c r="AI15" s="45"/>
      <c r="AJ15" s="45"/>
      <c r="AL15" s="61"/>
      <c r="AM15" s="63">
        <v>200</v>
      </c>
      <c r="AN15" s="61"/>
      <c r="AO15" s="63">
        <v>200</v>
      </c>
    </row>
    <row r="16" spans="1:43" x14ac:dyDescent="0.45">
      <c r="A16" s="1">
        <v>302</v>
      </c>
      <c r="B16" s="1" t="s">
        <v>13</v>
      </c>
      <c r="C16" s="96">
        <v>150</v>
      </c>
      <c r="D16" s="97">
        <v>254</v>
      </c>
      <c r="E16" s="98">
        <v>254</v>
      </c>
      <c r="F16" s="60"/>
      <c r="G16" s="132">
        <v>254</v>
      </c>
      <c r="H16" s="133">
        <v>150</v>
      </c>
      <c r="I16" s="134">
        <v>210</v>
      </c>
      <c r="J16" s="60"/>
      <c r="K16" s="96">
        <v>150</v>
      </c>
      <c r="L16" s="97">
        <v>254</v>
      </c>
      <c r="M16" s="98">
        <v>254</v>
      </c>
      <c r="N16" s="60"/>
      <c r="O16" s="96">
        <v>150</v>
      </c>
      <c r="P16" s="97">
        <v>254</v>
      </c>
      <c r="Q16" s="98">
        <v>254</v>
      </c>
      <c r="R16" s="60"/>
      <c r="S16" s="86">
        <v>250</v>
      </c>
      <c r="T16" s="87">
        <v>150</v>
      </c>
      <c r="U16" s="88">
        <v>200</v>
      </c>
      <c r="V16" s="60"/>
      <c r="W16" s="86">
        <v>250</v>
      </c>
      <c r="X16" s="87">
        <v>150</v>
      </c>
      <c r="Y16" s="88">
        <v>200</v>
      </c>
      <c r="Z16" s="60"/>
      <c r="AA16" s="89">
        <v>180</v>
      </c>
      <c r="AB16" s="61"/>
      <c r="AC16" s="89">
        <v>180</v>
      </c>
      <c r="AD16" s="61"/>
      <c r="AE16" s="63">
        <v>200</v>
      </c>
      <c r="AF16" s="61"/>
      <c r="AG16" s="63">
        <v>200</v>
      </c>
      <c r="AH16" s="45"/>
      <c r="AI16" s="45"/>
      <c r="AJ16" s="45"/>
      <c r="AL16" s="61"/>
      <c r="AM16" s="63">
        <v>200</v>
      </c>
      <c r="AN16" s="61"/>
      <c r="AO16" s="63">
        <v>200</v>
      </c>
    </row>
    <row r="17" spans="1:41" hidden="1" x14ac:dyDescent="0.45">
      <c r="A17" s="1">
        <v>310</v>
      </c>
      <c r="B17" s="1" t="s">
        <v>14</v>
      </c>
      <c r="C17" s="96">
        <v>150</v>
      </c>
      <c r="D17" s="97">
        <v>254</v>
      </c>
      <c r="E17" s="98">
        <v>254</v>
      </c>
      <c r="F17" s="61"/>
      <c r="G17" s="86">
        <v>250</v>
      </c>
      <c r="H17" s="87">
        <v>150</v>
      </c>
      <c r="I17" s="88">
        <v>200</v>
      </c>
      <c r="J17" s="61"/>
      <c r="K17" s="96">
        <v>150</v>
      </c>
      <c r="L17" s="97">
        <v>254</v>
      </c>
      <c r="M17" s="98">
        <v>254</v>
      </c>
      <c r="N17" s="61"/>
      <c r="O17" s="96">
        <v>150</v>
      </c>
      <c r="P17" s="97">
        <v>254</v>
      </c>
      <c r="Q17" s="98">
        <v>254</v>
      </c>
      <c r="R17" s="61"/>
      <c r="S17" s="86">
        <v>250</v>
      </c>
      <c r="T17" s="87">
        <v>150</v>
      </c>
      <c r="U17" s="88">
        <v>200</v>
      </c>
      <c r="V17" s="61"/>
      <c r="W17" s="86">
        <v>250</v>
      </c>
      <c r="X17" s="87">
        <v>150</v>
      </c>
      <c r="Y17" s="88">
        <v>200</v>
      </c>
      <c r="Z17" s="61"/>
      <c r="AA17" s="89">
        <v>180</v>
      </c>
      <c r="AB17" s="61"/>
      <c r="AC17" s="89">
        <v>180</v>
      </c>
      <c r="AD17" s="61"/>
      <c r="AE17" s="63">
        <v>200</v>
      </c>
      <c r="AF17" s="61"/>
      <c r="AG17" s="63">
        <v>200</v>
      </c>
      <c r="AH17" s="45"/>
      <c r="AI17" s="45"/>
      <c r="AJ17" s="45"/>
      <c r="AL17" s="61"/>
      <c r="AM17" s="63">
        <v>200</v>
      </c>
      <c r="AN17" s="61"/>
      <c r="AO17" s="63">
        <v>200</v>
      </c>
    </row>
    <row r="18" spans="1:41" hidden="1" x14ac:dyDescent="0.45">
      <c r="A18" s="1">
        <v>311</v>
      </c>
      <c r="B18" s="1" t="s">
        <v>15</v>
      </c>
      <c r="C18" s="96">
        <v>150</v>
      </c>
      <c r="D18" s="97">
        <v>254</v>
      </c>
      <c r="E18" s="98">
        <v>254</v>
      </c>
      <c r="F18" s="61"/>
      <c r="G18" s="86">
        <v>250</v>
      </c>
      <c r="H18" s="87">
        <v>150</v>
      </c>
      <c r="I18" s="88">
        <v>200</v>
      </c>
      <c r="J18" s="61"/>
      <c r="K18" s="96">
        <v>150</v>
      </c>
      <c r="L18" s="97">
        <v>254</v>
      </c>
      <c r="M18" s="98">
        <v>254</v>
      </c>
      <c r="N18" s="61"/>
      <c r="O18" s="96">
        <v>150</v>
      </c>
      <c r="P18" s="97">
        <v>254</v>
      </c>
      <c r="Q18" s="98">
        <v>254</v>
      </c>
      <c r="R18" s="61"/>
      <c r="S18" s="86">
        <v>250</v>
      </c>
      <c r="T18" s="87">
        <v>150</v>
      </c>
      <c r="U18" s="88">
        <v>200</v>
      </c>
      <c r="V18" s="61"/>
      <c r="W18" s="86">
        <v>250</v>
      </c>
      <c r="X18" s="87">
        <v>150</v>
      </c>
      <c r="Y18" s="88">
        <v>200</v>
      </c>
      <c r="Z18" s="61"/>
      <c r="AA18" s="89">
        <v>180</v>
      </c>
      <c r="AB18" s="61"/>
      <c r="AC18" s="89">
        <v>180</v>
      </c>
      <c r="AD18" s="61"/>
      <c r="AE18" s="63">
        <v>200</v>
      </c>
      <c r="AF18" s="61"/>
      <c r="AG18" s="63">
        <v>200</v>
      </c>
      <c r="AH18" s="45"/>
      <c r="AI18" s="45"/>
      <c r="AJ18" s="45"/>
      <c r="AL18" s="61"/>
      <c r="AM18" s="63">
        <v>200</v>
      </c>
      <c r="AN18" s="61"/>
      <c r="AO18" s="63">
        <v>200</v>
      </c>
    </row>
    <row r="19" spans="1:41" hidden="1" x14ac:dyDescent="0.45">
      <c r="A19" s="1">
        <v>312</v>
      </c>
      <c r="B19" s="1" t="s">
        <v>16</v>
      </c>
      <c r="C19" s="96">
        <v>150</v>
      </c>
      <c r="D19" s="97">
        <v>254</v>
      </c>
      <c r="E19" s="98">
        <v>254</v>
      </c>
      <c r="F19" s="61"/>
      <c r="G19" s="86">
        <v>250</v>
      </c>
      <c r="H19" s="87">
        <v>150</v>
      </c>
      <c r="I19" s="88">
        <v>200</v>
      </c>
      <c r="J19" s="61"/>
      <c r="K19" s="96">
        <v>150</v>
      </c>
      <c r="L19" s="97">
        <v>254</v>
      </c>
      <c r="M19" s="98">
        <v>254</v>
      </c>
      <c r="N19" s="61"/>
      <c r="O19" s="96">
        <v>150</v>
      </c>
      <c r="P19" s="97">
        <v>254</v>
      </c>
      <c r="Q19" s="98">
        <v>254</v>
      </c>
      <c r="R19" s="61"/>
      <c r="S19" s="86">
        <v>250</v>
      </c>
      <c r="T19" s="87">
        <v>150</v>
      </c>
      <c r="U19" s="88">
        <v>200</v>
      </c>
      <c r="V19" s="61"/>
      <c r="W19" s="86">
        <v>250</v>
      </c>
      <c r="X19" s="87">
        <v>150</v>
      </c>
      <c r="Y19" s="88">
        <v>200</v>
      </c>
      <c r="Z19" s="61"/>
      <c r="AA19" s="89">
        <v>180</v>
      </c>
      <c r="AB19" s="61"/>
      <c r="AC19" s="89">
        <v>180</v>
      </c>
      <c r="AD19" s="61"/>
      <c r="AE19" s="63">
        <v>200</v>
      </c>
      <c r="AF19" s="61"/>
      <c r="AG19" s="63">
        <v>200</v>
      </c>
      <c r="AH19" s="45"/>
      <c r="AI19" s="45"/>
      <c r="AJ19" s="45"/>
      <c r="AL19" s="61"/>
      <c r="AM19" s="63">
        <v>200</v>
      </c>
      <c r="AN19" s="61"/>
      <c r="AO19" s="63">
        <v>200</v>
      </c>
    </row>
    <row r="20" spans="1:41" hidden="1" x14ac:dyDescent="0.45">
      <c r="A20" s="1">
        <v>313</v>
      </c>
      <c r="B20" s="1" t="s">
        <v>17</v>
      </c>
      <c r="C20" s="96">
        <v>150</v>
      </c>
      <c r="D20" s="97">
        <v>254</v>
      </c>
      <c r="E20" s="98">
        <v>254</v>
      </c>
      <c r="F20" s="61"/>
      <c r="G20" s="86">
        <v>250</v>
      </c>
      <c r="H20" s="87">
        <v>150</v>
      </c>
      <c r="I20" s="88">
        <v>200</v>
      </c>
      <c r="J20" s="61"/>
      <c r="K20" s="96">
        <v>150</v>
      </c>
      <c r="L20" s="97">
        <v>254</v>
      </c>
      <c r="M20" s="98">
        <v>254</v>
      </c>
      <c r="N20" s="61"/>
      <c r="O20" s="96">
        <v>150</v>
      </c>
      <c r="P20" s="97">
        <v>254</v>
      </c>
      <c r="Q20" s="98">
        <v>254</v>
      </c>
      <c r="R20" s="61"/>
      <c r="S20" s="86">
        <v>250</v>
      </c>
      <c r="T20" s="87">
        <v>150</v>
      </c>
      <c r="U20" s="88">
        <v>200</v>
      </c>
      <c r="V20" s="61"/>
      <c r="W20" s="86">
        <v>250</v>
      </c>
      <c r="X20" s="87">
        <v>150</v>
      </c>
      <c r="Y20" s="88">
        <v>200</v>
      </c>
      <c r="Z20" s="61"/>
      <c r="AA20" s="89">
        <v>180</v>
      </c>
      <c r="AB20" s="61"/>
      <c r="AC20" s="89">
        <v>180</v>
      </c>
      <c r="AD20" s="61"/>
      <c r="AE20" s="63">
        <v>200</v>
      </c>
      <c r="AF20" s="61"/>
      <c r="AG20" s="63">
        <v>200</v>
      </c>
      <c r="AH20" s="45"/>
      <c r="AI20" s="45"/>
      <c r="AJ20" s="45"/>
      <c r="AL20" s="61"/>
      <c r="AM20" s="63">
        <v>200</v>
      </c>
      <c r="AN20" s="61"/>
      <c r="AO20" s="63">
        <v>200</v>
      </c>
    </row>
    <row r="21" spans="1:41" hidden="1" x14ac:dyDescent="0.45">
      <c r="A21" s="1">
        <v>314</v>
      </c>
      <c r="B21" s="1" t="s">
        <v>18</v>
      </c>
      <c r="C21" s="96">
        <v>150</v>
      </c>
      <c r="D21" s="97">
        <v>254</v>
      </c>
      <c r="E21" s="98">
        <v>254</v>
      </c>
      <c r="F21" s="61"/>
      <c r="G21" s="86">
        <v>250</v>
      </c>
      <c r="H21" s="87">
        <v>150</v>
      </c>
      <c r="I21" s="88">
        <v>200</v>
      </c>
      <c r="J21" s="61"/>
      <c r="K21" s="96">
        <v>150</v>
      </c>
      <c r="L21" s="97">
        <v>254</v>
      </c>
      <c r="M21" s="98">
        <v>254</v>
      </c>
      <c r="N21" s="61"/>
      <c r="O21" s="96">
        <v>150</v>
      </c>
      <c r="P21" s="97">
        <v>254</v>
      </c>
      <c r="Q21" s="98">
        <v>254</v>
      </c>
      <c r="R21" s="61"/>
      <c r="S21" s="86">
        <v>250</v>
      </c>
      <c r="T21" s="87">
        <v>150</v>
      </c>
      <c r="U21" s="88">
        <v>200</v>
      </c>
      <c r="V21" s="61"/>
      <c r="W21" s="86">
        <v>250</v>
      </c>
      <c r="X21" s="87">
        <v>150</v>
      </c>
      <c r="Y21" s="88">
        <v>200</v>
      </c>
      <c r="Z21" s="61"/>
      <c r="AA21" s="89">
        <v>180</v>
      </c>
      <c r="AB21" s="61"/>
      <c r="AC21" s="89">
        <v>180</v>
      </c>
      <c r="AD21" s="61"/>
      <c r="AE21" s="63">
        <v>200</v>
      </c>
      <c r="AF21" s="61"/>
      <c r="AG21" s="63">
        <v>200</v>
      </c>
      <c r="AH21" s="52"/>
      <c r="AI21" s="52"/>
      <c r="AJ21" s="52"/>
      <c r="AL21" s="61"/>
      <c r="AM21" s="63">
        <v>200</v>
      </c>
      <c r="AN21" s="61"/>
      <c r="AO21" s="63">
        <v>200</v>
      </c>
    </row>
    <row r="22" spans="1:41" hidden="1" x14ac:dyDescent="0.45">
      <c r="A22" s="1">
        <v>321</v>
      </c>
      <c r="B22" s="1" t="s">
        <v>19</v>
      </c>
      <c r="C22" s="96">
        <v>150</v>
      </c>
      <c r="D22" s="97">
        <v>254</v>
      </c>
      <c r="E22" s="98">
        <v>254</v>
      </c>
      <c r="F22" s="61"/>
      <c r="G22" s="86">
        <v>250</v>
      </c>
      <c r="H22" s="87">
        <v>150</v>
      </c>
      <c r="I22" s="88">
        <v>200</v>
      </c>
      <c r="J22" s="61"/>
      <c r="K22" s="96">
        <v>150</v>
      </c>
      <c r="L22" s="97">
        <v>254</v>
      </c>
      <c r="M22" s="98">
        <v>254</v>
      </c>
      <c r="N22" s="61"/>
      <c r="O22" s="96">
        <v>150</v>
      </c>
      <c r="P22" s="97">
        <v>254</v>
      </c>
      <c r="Q22" s="98">
        <v>254</v>
      </c>
      <c r="R22" s="61"/>
      <c r="S22" s="86">
        <v>250</v>
      </c>
      <c r="T22" s="87">
        <v>150</v>
      </c>
      <c r="U22" s="88">
        <v>200</v>
      </c>
      <c r="V22" s="61"/>
      <c r="W22" s="86">
        <v>250</v>
      </c>
      <c r="X22" s="87">
        <v>150</v>
      </c>
      <c r="Y22" s="88">
        <v>200</v>
      </c>
      <c r="Z22" s="61"/>
      <c r="AA22" s="89">
        <v>180</v>
      </c>
      <c r="AB22" s="61"/>
      <c r="AC22" s="89">
        <v>180</v>
      </c>
      <c r="AD22" s="61"/>
      <c r="AE22" s="63">
        <v>200</v>
      </c>
      <c r="AF22" s="61"/>
      <c r="AG22" s="63">
        <v>200</v>
      </c>
      <c r="AH22" s="45"/>
      <c r="AI22" s="45"/>
      <c r="AJ22" s="45"/>
      <c r="AL22" s="61"/>
      <c r="AM22" s="63">
        <v>200</v>
      </c>
      <c r="AN22" s="61"/>
      <c r="AO22" s="63">
        <v>200</v>
      </c>
    </row>
    <row r="23" spans="1:41" x14ac:dyDescent="0.45">
      <c r="A23" s="1">
        <v>500</v>
      </c>
      <c r="B23" s="1" t="s">
        <v>20</v>
      </c>
      <c r="C23" s="96">
        <v>150</v>
      </c>
      <c r="D23" s="97">
        <v>254</v>
      </c>
      <c r="E23" s="98">
        <v>254</v>
      </c>
      <c r="F23" s="61"/>
      <c r="G23" s="135">
        <v>254</v>
      </c>
      <c r="H23" s="136">
        <v>140</v>
      </c>
      <c r="I23" s="137">
        <v>200</v>
      </c>
      <c r="J23" s="61"/>
      <c r="K23" s="96">
        <v>150</v>
      </c>
      <c r="L23" s="97">
        <v>254</v>
      </c>
      <c r="M23" s="98">
        <v>254</v>
      </c>
      <c r="N23" s="61"/>
      <c r="O23" s="96">
        <v>150</v>
      </c>
      <c r="P23" s="97">
        <v>254</v>
      </c>
      <c r="Q23" s="98">
        <v>254</v>
      </c>
      <c r="R23" s="61"/>
      <c r="S23" s="86">
        <v>250</v>
      </c>
      <c r="T23" s="87">
        <v>150</v>
      </c>
      <c r="U23" s="88">
        <v>200</v>
      </c>
      <c r="V23" s="61"/>
      <c r="W23" s="86">
        <v>250</v>
      </c>
      <c r="X23" s="87">
        <v>150</v>
      </c>
      <c r="Y23" s="88">
        <v>200</v>
      </c>
      <c r="Z23" s="61"/>
      <c r="AA23" s="89">
        <v>180</v>
      </c>
      <c r="AB23" s="61"/>
      <c r="AC23" s="89">
        <v>180</v>
      </c>
      <c r="AD23" s="61"/>
      <c r="AE23" s="63">
        <v>200</v>
      </c>
      <c r="AF23" s="61"/>
      <c r="AG23" s="63">
        <v>200</v>
      </c>
      <c r="AH23" s="45"/>
      <c r="AI23" s="45"/>
      <c r="AJ23" s="45"/>
      <c r="AL23" s="61"/>
      <c r="AM23" s="63">
        <v>200</v>
      </c>
      <c r="AN23" s="61"/>
      <c r="AO23" s="63">
        <v>200</v>
      </c>
    </row>
    <row r="24" spans="1:41" x14ac:dyDescent="0.45">
      <c r="A24" s="1">
        <v>501</v>
      </c>
      <c r="B24" s="1" t="s">
        <v>21</v>
      </c>
      <c r="C24" s="96">
        <v>150</v>
      </c>
      <c r="D24" s="97">
        <v>254</v>
      </c>
      <c r="E24" s="98">
        <v>254</v>
      </c>
      <c r="F24" s="61"/>
      <c r="G24" s="86">
        <v>250</v>
      </c>
      <c r="H24" s="87">
        <v>150</v>
      </c>
      <c r="I24" s="88">
        <v>200</v>
      </c>
      <c r="J24" s="61"/>
      <c r="K24" s="96">
        <v>150</v>
      </c>
      <c r="L24" s="97">
        <v>254</v>
      </c>
      <c r="M24" s="98">
        <v>254</v>
      </c>
      <c r="N24" s="61"/>
      <c r="O24" s="96">
        <v>150</v>
      </c>
      <c r="P24" s="97">
        <v>254</v>
      </c>
      <c r="Q24" s="98">
        <v>254</v>
      </c>
      <c r="R24" s="61"/>
      <c r="S24" s="86">
        <v>250</v>
      </c>
      <c r="T24" s="87">
        <v>150</v>
      </c>
      <c r="U24" s="88">
        <v>200</v>
      </c>
      <c r="V24" s="61"/>
      <c r="W24" s="86">
        <v>250</v>
      </c>
      <c r="X24" s="87">
        <v>150</v>
      </c>
      <c r="Y24" s="88">
        <v>200</v>
      </c>
      <c r="Z24" s="61"/>
      <c r="AA24" s="89">
        <v>180</v>
      </c>
      <c r="AB24" s="61"/>
      <c r="AC24" s="89">
        <v>180</v>
      </c>
      <c r="AD24" s="61"/>
      <c r="AE24" s="63">
        <v>200</v>
      </c>
      <c r="AF24" s="61"/>
      <c r="AG24" s="63">
        <v>200</v>
      </c>
      <c r="AH24" s="45"/>
      <c r="AI24" s="45"/>
      <c r="AJ24" s="45"/>
      <c r="AL24" s="61"/>
      <c r="AM24" s="63">
        <v>200</v>
      </c>
      <c r="AN24" s="61"/>
      <c r="AO24" s="63">
        <v>200</v>
      </c>
    </row>
    <row r="25" spans="1:41" x14ac:dyDescent="0.45">
      <c r="A25" s="1">
        <v>502</v>
      </c>
      <c r="B25" s="1" t="s">
        <v>22</v>
      </c>
      <c r="C25" s="96">
        <v>150</v>
      </c>
      <c r="D25" s="97">
        <v>254</v>
      </c>
      <c r="E25" s="98">
        <v>254</v>
      </c>
      <c r="F25" s="61"/>
      <c r="G25" s="86">
        <v>250</v>
      </c>
      <c r="H25" s="87">
        <v>150</v>
      </c>
      <c r="I25" s="88">
        <v>200</v>
      </c>
      <c r="J25" s="61"/>
      <c r="K25" s="96">
        <v>150</v>
      </c>
      <c r="L25" s="97">
        <v>254</v>
      </c>
      <c r="M25" s="98">
        <v>254</v>
      </c>
      <c r="N25" s="61"/>
      <c r="O25" s="96">
        <v>150</v>
      </c>
      <c r="P25" s="97">
        <v>254</v>
      </c>
      <c r="Q25" s="98">
        <v>254</v>
      </c>
      <c r="R25" s="61"/>
      <c r="S25" s="86">
        <v>250</v>
      </c>
      <c r="T25" s="87">
        <v>150</v>
      </c>
      <c r="U25" s="88">
        <v>200</v>
      </c>
      <c r="V25" s="61"/>
      <c r="W25" s="86">
        <v>250</v>
      </c>
      <c r="X25" s="87">
        <v>150</v>
      </c>
      <c r="Y25" s="88">
        <v>200</v>
      </c>
      <c r="Z25" s="61"/>
      <c r="AA25" s="89">
        <v>180</v>
      </c>
      <c r="AB25" s="61"/>
      <c r="AC25" s="89">
        <v>180</v>
      </c>
      <c r="AD25" s="61"/>
      <c r="AE25" s="63">
        <v>200</v>
      </c>
      <c r="AF25" s="61"/>
      <c r="AG25" s="63">
        <v>200</v>
      </c>
      <c r="AH25" s="45"/>
      <c r="AI25" s="45"/>
      <c r="AJ25" s="45"/>
      <c r="AL25" s="61"/>
      <c r="AM25" s="63">
        <v>200</v>
      </c>
      <c r="AN25" s="61"/>
      <c r="AO25" s="63">
        <v>200</v>
      </c>
    </row>
    <row r="26" spans="1:41" hidden="1" x14ac:dyDescent="0.45">
      <c r="A26" s="1">
        <v>503</v>
      </c>
      <c r="B26" s="1" t="s">
        <v>23</v>
      </c>
      <c r="C26" s="99">
        <v>0</v>
      </c>
      <c r="D26" s="100">
        <v>188</v>
      </c>
      <c r="E26" s="101">
        <v>254</v>
      </c>
      <c r="F26" s="61"/>
      <c r="G26" s="138">
        <v>180</v>
      </c>
      <c r="H26" s="139">
        <v>210</v>
      </c>
      <c r="I26" s="140">
        <v>254</v>
      </c>
      <c r="J26" s="61"/>
      <c r="K26" s="99">
        <v>0</v>
      </c>
      <c r="L26" s="100">
        <v>188</v>
      </c>
      <c r="M26" s="101">
        <v>254</v>
      </c>
      <c r="N26" s="61"/>
      <c r="O26" s="138">
        <v>180</v>
      </c>
      <c r="P26" s="139">
        <v>210</v>
      </c>
      <c r="Q26" s="140">
        <v>254</v>
      </c>
      <c r="R26" s="61"/>
      <c r="S26" s="138">
        <v>180</v>
      </c>
      <c r="T26" s="139">
        <v>210</v>
      </c>
      <c r="U26" s="140">
        <v>254</v>
      </c>
      <c r="V26" s="61"/>
      <c r="W26" s="138">
        <v>180</v>
      </c>
      <c r="X26" s="139">
        <v>210</v>
      </c>
      <c r="Y26" s="140">
        <v>254</v>
      </c>
      <c r="Z26" s="61"/>
      <c r="AA26" s="89">
        <v>180</v>
      </c>
      <c r="AB26" s="61"/>
      <c r="AC26" s="89">
        <v>180</v>
      </c>
      <c r="AD26" s="61"/>
      <c r="AE26" s="63">
        <v>200</v>
      </c>
      <c r="AF26" s="61"/>
      <c r="AG26" s="63">
        <v>200</v>
      </c>
      <c r="AH26" s="45"/>
      <c r="AI26" s="45"/>
      <c r="AJ26" s="45"/>
      <c r="AL26" s="61"/>
      <c r="AM26" s="63">
        <v>200</v>
      </c>
      <c r="AN26" s="61"/>
      <c r="AO26" s="63">
        <v>200</v>
      </c>
    </row>
    <row r="27" spans="1:41" hidden="1" x14ac:dyDescent="0.45">
      <c r="A27" s="1">
        <v>504</v>
      </c>
      <c r="B27" s="1" t="s">
        <v>24</v>
      </c>
      <c r="C27" s="99">
        <v>0</v>
      </c>
      <c r="D27" s="100">
        <v>188</v>
      </c>
      <c r="E27" s="101">
        <v>254</v>
      </c>
      <c r="F27" s="61"/>
      <c r="G27" s="26">
        <v>40</v>
      </c>
      <c r="H27" s="27">
        <v>50</v>
      </c>
      <c r="I27" s="28">
        <v>200</v>
      </c>
      <c r="J27" s="61"/>
      <c r="K27" s="99">
        <v>0</v>
      </c>
      <c r="L27" s="100">
        <v>188</v>
      </c>
      <c r="M27" s="101">
        <v>254</v>
      </c>
      <c r="N27" s="61"/>
      <c r="O27" s="26">
        <v>40</v>
      </c>
      <c r="P27" s="27">
        <v>50</v>
      </c>
      <c r="Q27" s="28">
        <v>200</v>
      </c>
      <c r="R27" s="61"/>
      <c r="S27" s="26">
        <v>40</v>
      </c>
      <c r="T27" s="27">
        <v>50</v>
      </c>
      <c r="U27" s="28">
        <v>200</v>
      </c>
      <c r="V27" s="61"/>
      <c r="W27" s="26">
        <v>40</v>
      </c>
      <c r="X27" s="27">
        <v>50</v>
      </c>
      <c r="Y27" s="28">
        <v>200</v>
      </c>
      <c r="Z27" s="61"/>
      <c r="AA27" s="89">
        <v>180</v>
      </c>
      <c r="AB27" s="61"/>
      <c r="AC27" s="89">
        <v>180</v>
      </c>
      <c r="AD27" s="61"/>
      <c r="AE27" s="63">
        <v>200</v>
      </c>
      <c r="AF27" s="61"/>
      <c r="AG27" s="63">
        <v>200</v>
      </c>
      <c r="AH27" s="45"/>
      <c r="AI27" s="45"/>
      <c r="AJ27" s="45"/>
      <c r="AL27" s="61"/>
      <c r="AM27" s="63">
        <v>200</v>
      </c>
      <c r="AN27" s="61"/>
      <c r="AO27" s="63">
        <v>200</v>
      </c>
    </row>
    <row r="28" spans="1:41" hidden="1" x14ac:dyDescent="0.45">
      <c r="A28" s="1">
        <v>511</v>
      </c>
      <c r="B28" s="1" t="s">
        <v>25</v>
      </c>
      <c r="C28" s="99">
        <v>0</v>
      </c>
      <c r="D28" s="100">
        <v>188</v>
      </c>
      <c r="E28" s="101">
        <v>254</v>
      </c>
      <c r="F28" s="61"/>
      <c r="G28" s="138">
        <v>180</v>
      </c>
      <c r="H28" s="139">
        <v>210</v>
      </c>
      <c r="I28" s="140">
        <v>254</v>
      </c>
      <c r="J28" s="61"/>
      <c r="K28" s="99">
        <v>0</v>
      </c>
      <c r="L28" s="100">
        <v>188</v>
      </c>
      <c r="M28" s="101">
        <v>254</v>
      </c>
      <c r="N28" s="61"/>
      <c r="O28" s="138">
        <v>180</v>
      </c>
      <c r="P28" s="139">
        <v>210</v>
      </c>
      <c r="Q28" s="140">
        <v>254</v>
      </c>
      <c r="R28" s="61"/>
      <c r="S28" s="138">
        <v>180</v>
      </c>
      <c r="T28" s="139">
        <v>210</v>
      </c>
      <c r="U28" s="140">
        <v>254</v>
      </c>
      <c r="V28" s="61"/>
      <c r="W28" s="138">
        <v>180</v>
      </c>
      <c r="X28" s="139">
        <v>210</v>
      </c>
      <c r="Y28" s="140">
        <v>254</v>
      </c>
      <c r="Z28" s="61"/>
      <c r="AA28" s="89">
        <v>180</v>
      </c>
      <c r="AB28" s="61"/>
      <c r="AC28" s="89">
        <v>180</v>
      </c>
      <c r="AD28" s="61"/>
      <c r="AE28" s="63">
        <v>200</v>
      </c>
      <c r="AF28" s="61"/>
      <c r="AG28" s="63">
        <v>200</v>
      </c>
      <c r="AH28" s="45"/>
      <c r="AI28" s="45"/>
      <c r="AJ28" s="45"/>
      <c r="AL28" s="61"/>
      <c r="AM28" s="63">
        <v>200</v>
      </c>
      <c r="AN28" s="61"/>
      <c r="AO28" s="63">
        <v>200</v>
      </c>
    </row>
    <row r="29" spans="1:41" hidden="1" x14ac:dyDescent="0.45">
      <c r="A29" s="1">
        <v>520</v>
      </c>
      <c r="B29" s="1" t="s">
        <v>26</v>
      </c>
      <c r="C29" s="99">
        <v>0</v>
      </c>
      <c r="D29" s="100">
        <v>188</v>
      </c>
      <c r="E29" s="101">
        <v>254</v>
      </c>
      <c r="F29" s="61"/>
      <c r="G29" s="138">
        <v>180</v>
      </c>
      <c r="H29" s="139">
        <v>210</v>
      </c>
      <c r="I29" s="140">
        <v>254</v>
      </c>
      <c r="J29" s="61"/>
      <c r="K29" s="99">
        <v>0</v>
      </c>
      <c r="L29" s="100">
        <v>188</v>
      </c>
      <c r="M29" s="101">
        <v>254</v>
      </c>
      <c r="N29" s="61"/>
      <c r="O29" s="138">
        <v>180</v>
      </c>
      <c r="P29" s="139">
        <v>210</v>
      </c>
      <c r="Q29" s="140">
        <v>254</v>
      </c>
      <c r="R29" s="61"/>
      <c r="S29" s="138">
        <v>180</v>
      </c>
      <c r="T29" s="139">
        <v>210</v>
      </c>
      <c r="U29" s="140">
        <v>254</v>
      </c>
      <c r="V29" s="61"/>
      <c r="W29" s="138">
        <v>180</v>
      </c>
      <c r="X29" s="139">
        <v>210</v>
      </c>
      <c r="Y29" s="140">
        <v>254</v>
      </c>
      <c r="Z29" s="61"/>
      <c r="AA29" s="89">
        <v>180</v>
      </c>
      <c r="AB29" s="61"/>
      <c r="AC29" s="89">
        <v>180</v>
      </c>
      <c r="AD29" s="61"/>
      <c r="AE29" s="63">
        <v>200</v>
      </c>
      <c r="AF29" s="61"/>
      <c r="AG29" s="63">
        <v>200</v>
      </c>
      <c r="AH29" s="45"/>
      <c r="AI29" s="45"/>
      <c r="AJ29" s="45"/>
      <c r="AL29" s="61"/>
      <c r="AM29" s="63">
        <v>200</v>
      </c>
      <c r="AN29" s="61"/>
      <c r="AO29" s="63">
        <v>200</v>
      </c>
    </row>
    <row r="30" spans="1:41" hidden="1" x14ac:dyDescent="0.45">
      <c r="A30" s="1">
        <v>521</v>
      </c>
      <c r="B30" s="1" t="s">
        <v>27</v>
      </c>
      <c r="C30" s="99">
        <v>0</v>
      </c>
      <c r="D30" s="100">
        <v>188</v>
      </c>
      <c r="E30" s="101">
        <v>254</v>
      </c>
      <c r="F30" s="61"/>
      <c r="G30" s="138">
        <v>180</v>
      </c>
      <c r="H30" s="139">
        <v>210</v>
      </c>
      <c r="I30" s="140">
        <v>254</v>
      </c>
      <c r="J30" s="61"/>
      <c r="K30" s="99">
        <v>0</v>
      </c>
      <c r="L30" s="100">
        <v>188</v>
      </c>
      <c r="M30" s="101">
        <v>254</v>
      </c>
      <c r="N30" s="61"/>
      <c r="O30" s="138">
        <v>180</v>
      </c>
      <c r="P30" s="139">
        <v>210</v>
      </c>
      <c r="Q30" s="140">
        <v>254</v>
      </c>
      <c r="R30" s="61"/>
      <c r="S30" s="138">
        <v>180</v>
      </c>
      <c r="T30" s="139">
        <v>210</v>
      </c>
      <c r="U30" s="140">
        <v>254</v>
      </c>
      <c r="V30" s="61"/>
      <c r="W30" s="138">
        <v>180</v>
      </c>
      <c r="X30" s="139">
        <v>210</v>
      </c>
      <c r="Y30" s="140">
        <v>254</v>
      </c>
      <c r="Z30" s="61"/>
      <c r="AA30" s="89">
        <v>180</v>
      </c>
      <c r="AB30" s="61"/>
      <c r="AC30" s="89">
        <v>180</v>
      </c>
      <c r="AD30" s="61"/>
      <c r="AE30" s="63">
        <v>200</v>
      </c>
      <c r="AF30" s="61"/>
      <c r="AG30" s="63">
        <v>200</v>
      </c>
      <c r="AH30" s="45"/>
      <c r="AI30" s="45"/>
      <c r="AJ30" s="45"/>
      <c r="AL30" s="61"/>
      <c r="AM30" s="63">
        <v>200</v>
      </c>
      <c r="AN30" s="61"/>
      <c r="AO30" s="63">
        <v>200</v>
      </c>
    </row>
    <row r="31" spans="1:41" hidden="1" x14ac:dyDescent="0.45">
      <c r="A31" s="1">
        <v>522</v>
      </c>
      <c r="B31" s="1" t="s">
        <v>28</v>
      </c>
      <c r="C31" s="99">
        <v>0</v>
      </c>
      <c r="D31" s="100">
        <v>188</v>
      </c>
      <c r="E31" s="101">
        <v>254</v>
      </c>
      <c r="F31" s="61"/>
      <c r="G31" s="138">
        <v>180</v>
      </c>
      <c r="H31" s="139">
        <v>210</v>
      </c>
      <c r="I31" s="140">
        <v>254</v>
      </c>
      <c r="J31" s="61"/>
      <c r="K31" s="99">
        <v>0</v>
      </c>
      <c r="L31" s="100">
        <v>188</v>
      </c>
      <c r="M31" s="101">
        <v>254</v>
      </c>
      <c r="N31" s="61"/>
      <c r="O31" s="138">
        <v>180</v>
      </c>
      <c r="P31" s="139">
        <v>210</v>
      </c>
      <c r="Q31" s="140">
        <v>254</v>
      </c>
      <c r="R31" s="61"/>
      <c r="S31" s="138">
        <v>180</v>
      </c>
      <c r="T31" s="139">
        <v>210</v>
      </c>
      <c r="U31" s="140">
        <v>254</v>
      </c>
      <c r="V31" s="61"/>
      <c r="W31" s="138">
        <v>180</v>
      </c>
      <c r="X31" s="139">
        <v>210</v>
      </c>
      <c r="Y31" s="140">
        <v>254</v>
      </c>
      <c r="Z31" s="61"/>
      <c r="AA31" s="89">
        <v>180</v>
      </c>
      <c r="AB31" s="61"/>
      <c r="AC31" s="89">
        <v>180</v>
      </c>
      <c r="AD31" s="61"/>
      <c r="AE31" s="63">
        <v>200</v>
      </c>
      <c r="AF31" s="61"/>
      <c r="AG31" s="63">
        <v>200</v>
      </c>
      <c r="AH31" s="45"/>
      <c r="AI31" s="45"/>
      <c r="AJ31" s="45"/>
      <c r="AL31" s="61"/>
      <c r="AM31" s="63">
        <v>200</v>
      </c>
      <c r="AN31" s="61"/>
      <c r="AO31" s="63">
        <v>200</v>
      </c>
    </row>
    <row r="32" spans="1:41" hidden="1" x14ac:dyDescent="0.45">
      <c r="A32" s="1">
        <v>531</v>
      </c>
      <c r="B32" s="1" t="s">
        <v>29</v>
      </c>
      <c r="C32" s="99">
        <v>0</v>
      </c>
      <c r="D32" s="100">
        <v>188</v>
      </c>
      <c r="E32" s="101">
        <v>254</v>
      </c>
      <c r="F32" s="61"/>
      <c r="G32" s="138">
        <v>180</v>
      </c>
      <c r="H32" s="139">
        <v>210</v>
      </c>
      <c r="I32" s="140">
        <v>254</v>
      </c>
      <c r="J32" s="61"/>
      <c r="K32" s="99">
        <v>0</v>
      </c>
      <c r="L32" s="100">
        <v>188</v>
      </c>
      <c r="M32" s="101">
        <v>254</v>
      </c>
      <c r="N32" s="61"/>
      <c r="O32" s="138">
        <v>180</v>
      </c>
      <c r="P32" s="139">
        <v>210</v>
      </c>
      <c r="Q32" s="140">
        <v>254</v>
      </c>
      <c r="R32" s="61"/>
      <c r="S32" s="138">
        <v>180</v>
      </c>
      <c r="T32" s="139">
        <v>210</v>
      </c>
      <c r="U32" s="140">
        <v>254</v>
      </c>
      <c r="V32" s="61"/>
      <c r="W32" s="138">
        <v>180</v>
      </c>
      <c r="X32" s="139">
        <v>210</v>
      </c>
      <c r="Y32" s="140">
        <v>254</v>
      </c>
      <c r="Z32" s="61"/>
      <c r="AA32" s="89">
        <v>180</v>
      </c>
      <c r="AB32" s="61"/>
      <c r="AC32" s="89">
        <v>180</v>
      </c>
      <c r="AD32" s="61"/>
      <c r="AE32" s="63">
        <v>200</v>
      </c>
      <c r="AF32" s="61"/>
      <c r="AG32" s="63">
        <v>200</v>
      </c>
      <c r="AH32" s="45"/>
      <c r="AI32" s="45"/>
      <c r="AJ32" s="45"/>
      <c r="AL32" s="61"/>
      <c r="AM32" s="63">
        <v>200</v>
      </c>
      <c r="AN32" s="61"/>
      <c r="AO32" s="63">
        <v>200</v>
      </c>
    </row>
    <row r="33" spans="1:41" x14ac:dyDescent="0.45">
      <c r="A33" s="1">
        <v>600</v>
      </c>
      <c r="B33" s="1" t="s">
        <v>30</v>
      </c>
      <c r="C33" s="102">
        <v>254</v>
      </c>
      <c r="D33" s="103">
        <v>150</v>
      </c>
      <c r="E33" s="104">
        <v>150</v>
      </c>
      <c r="F33" s="60"/>
      <c r="G33" s="141">
        <v>150</v>
      </c>
      <c r="H33" s="142">
        <v>254</v>
      </c>
      <c r="I33" s="143">
        <v>150</v>
      </c>
      <c r="J33" s="60"/>
      <c r="K33" s="141">
        <v>150</v>
      </c>
      <c r="L33" s="142">
        <v>254</v>
      </c>
      <c r="M33" s="143">
        <v>150</v>
      </c>
      <c r="N33" s="60"/>
      <c r="O33" s="102">
        <v>254</v>
      </c>
      <c r="P33" s="103">
        <v>150</v>
      </c>
      <c r="Q33" s="104">
        <v>150</v>
      </c>
      <c r="R33" s="60"/>
      <c r="S33" s="141">
        <v>150</v>
      </c>
      <c r="T33" s="142">
        <v>254</v>
      </c>
      <c r="U33" s="143">
        <v>150</v>
      </c>
      <c r="V33" s="60"/>
      <c r="W33" s="141">
        <v>150</v>
      </c>
      <c r="X33" s="142">
        <v>254</v>
      </c>
      <c r="Y33" s="143">
        <v>150</v>
      </c>
      <c r="Z33" s="60"/>
      <c r="AA33" s="89">
        <v>180</v>
      </c>
      <c r="AB33" s="61"/>
      <c r="AC33" s="89">
        <v>180</v>
      </c>
      <c r="AD33" s="61"/>
      <c r="AE33" s="63">
        <v>200</v>
      </c>
      <c r="AF33" s="61"/>
      <c r="AG33" s="63">
        <v>200</v>
      </c>
      <c r="AH33" s="53"/>
      <c r="AI33" s="53"/>
      <c r="AJ33" s="53"/>
      <c r="AL33" s="61"/>
      <c r="AM33" s="63">
        <v>200</v>
      </c>
      <c r="AN33" s="61"/>
      <c r="AO33" s="63">
        <v>200</v>
      </c>
    </row>
    <row r="34" spans="1:41" x14ac:dyDescent="0.45">
      <c r="A34" s="1">
        <v>601</v>
      </c>
      <c r="B34" s="1" t="s">
        <v>31</v>
      </c>
      <c r="C34" s="102">
        <v>254</v>
      </c>
      <c r="D34" s="103">
        <v>150</v>
      </c>
      <c r="E34" s="104">
        <v>150</v>
      </c>
      <c r="F34" s="60"/>
      <c r="G34" s="141">
        <v>150</v>
      </c>
      <c r="H34" s="142">
        <v>254</v>
      </c>
      <c r="I34" s="143">
        <v>150</v>
      </c>
      <c r="J34" s="60"/>
      <c r="K34" s="141">
        <v>150</v>
      </c>
      <c r="L34" s="142">
        <v>254</v>
      </c>
      <c r="M34" s="143">
        <v>150</v>
      </c>
      <c r="N34" s="60"/>
      <c r="O34" s="102">
        <v>254</v>
      </c>
      <c r="P34" s="103">
        <v>150</v>
      </c>
      <c r="Q34" s="104">
        <v>150</v>
      </c>
      <c r="R34" s="60"/>
      <c r="S34" s="141">
        <v>150</v>
      </c>
      <c r="T34" s="142">
        <v>254</v>
      </c>
      <c r="U34" s="143">
        <v>150</v>
      </c>
      <c r="V34" s="60"/>
      <c r="W34" s="141">
        <v>150</v>
      </c>
      <c r="X34" s="142">
        <v>254</v>
      </c>
      <c r="Y34" s="143">
        <v>150</v>
      </c>
      <c r="Z34" s="60"/>
      <c r="AA34" s="89">
        <v>180</v>
      </c>
      <c r="AB34" s="61"/>
      <c r="AC34" s="89">
        <v>180</v>
      </c>
      <c r="AD34" s="61"/>
      <c r="AE34" s="63">
        <v>200</v>
      </c>
      <c r="AF34" s="61"/>
      <c r="AG34" s="63">
        <v>200</v>
      </c>
      <c r="AH34" s="49"/>
      <c r="AI34" s="49"/>
      <c r="AJ34" s="49"/>
      <c r="AL34" s="61"/>
      <c r="AM34" s="63">
        <v>200</v>
      </c>
      <c r="AN34" s="61"/>
      <c r="AO34" s="63">
        <v>200</v>
      </c>
    </row>
    <row r="35" spans="1:41" x14ac:dyDescent="0.45">
      <c r="A35" s="1">
        <v>602</v>
      </c>
      <c r="B35" s="1" t="s">
        <v>32</v>
      </c>
      <c r="C35" s="105">
        <v>254</v>
      </c>
      <c r="D35" s="106">
        <v>50</v>
      </c>
      <c r="E35" s="107">
        <v>50</v>
      </c>
      <c r="F35" s="60"/>
      <c r="G35" s="144">
        <v>50</v>
      </c>
      <c r="H35" s="145">
        <v>254</v>
      </c>
      <c r="I35" s="146">
        <v>50</v>
      </c>
      <c r="J35" s="60"/>
      <c r="K35" s="144">
        <v>50</v>
      </c>
      <c r="L35" s="145">
        <v>254</v>
      </c>
      <c r="M35" s="146">
        <v>50</v>
      </c>
      <c r="N35" s="60"/>
      <c r="O35" s="105">
        <v>254</v>
      </c>
      <c r="P35" s="106">
        <v>50</v>
      </c>
      <c r="Q35" s="107">
        <v>50</v>
      </c>
      <c r="R35" s="60"/>
      <c r="S35" s="144">
        <v>50</v>
      </c>
      <c r="T35" s="145">
        <v>254</v>
      </c>
      <c r="U35" s="146">
        <v>50</v>
      </c>
      <c r="V35" s="60"/>
      <c r="W35" s="144">
        <v>50</v>
      </c>
      <c r="X35" s="145">
        <v>254</v>
      </c>
      <c r="Y35" s="146">
        <v>50</v>
      </c>
      <c r="Z35" s="60"/>
      <c r="AA35" s="89">
        <v>180</v>
      </c>
      <c r="AB35" s="61"/>
      <c r="AC35" s="89">
        <v>180</v>
      </c>
      <c r="AD35" s="61"/>
      <c r="AE35" s="63">
        <v>200</v>
      </c>
      <c r="AF35" s="61"/>
      <c r="AG35" s="63">
        <v>200</v>
      </c>
      <c r="AH35" s="53"/>
      <c r="AI35" s="53"/>
      <c r="AJ35" s="53"/>
      <c r="AL35" s="61"/>
      <c r="AM35" s="63">
        <v>200</v>
      </c>
      <c r="AN35" s="61"/>
      <c r="AO35" s="63">
        <v>200</v>
      </c>
    </row>
    <row r="36" spans="1:41" hidden="1" x14ac:dyDescent="0.45">
      <c r="A36" s="1">
        <v>611</v>
      </c>
      <c r="B36" s="1" t="s">
        <v>33</v>
      </c>
      <c r="C36" s="108">
        <v>40</v>
      </c>
      <c r="D36" s="109">
        <v>254</v>
      </c>
      <c r="E36" s="110">
        <v>40</v>
      </c>
      <c r="F36" s="60"/>
      <c r="G36" s="111">
        <v>254</v>
      </c>
      <c r="H36" s="112">
        <v>40</v>
      </c>
      <c r="I36" s="113">
        <v>40</v>
      </c>
      <c r="J36" s="60"/>
      <c r="K36" s="108">
        <v>40</v>
      </c>
      <c r="L36" s="109">
        <v>254</v>
      </c>
      <c r="M36" s="110">
        <v>40</v>
      </c>
      <c r="N36" s="60"/>
      <c r="O36" s="111">
        <v>254</v>
      </c>
      <c r="P36" s="112">
        <v>40</v>
      </c>
      <c r="Q36" s="113">
        <v>40</v>
      </c>
      <c r="R36" s="60"/>
      <c r="S36" s="111">
        <v>254</v>
      </c>
      <c r="T36" s="112">
        <v>40</v>
      </c>
      <c r="U36" s="113">
        <v>40</v>
      </c>
      <c r="V36" s="60"/>
      <c r="W36" s="111">
        <v>254</v>
      </c>
      <c r="X36" s="112">
        <v>40</v>
      </c>
      <c r="Y36" s="113">
        <v>40</v>
      </c>
      <c r="Z36" s="60"/>
      <c r="AA36" s="89">
        <v>180</v>
      </c>
      <c r="AB36" s="61"/>
      <c r="AC36" s="89">
        <v>180</v>
      </c>
      <c r="AD36" s="61"/>
      <c r="AE36" s="63">
        <v>200</v>
      </c>
      <c r="AF36" s="61"/>
      <c r="AG36" s="63">
        <v>200</v>
      </c>
      <c r="AH36" s="49"/>
      <c r="AI36" s="49"/>
      <c r="AJ36" s="49"/>
      <c r="AL36" s="61"/>
      <c r="AM36" s="63">
        <v>200</v>
      </c>
      <c r="AN36" s="61"/>
      <c r="AO36" s="63">
        <v>200</v>
      </c>
    </row>
    <row r="37" spans="1:41" hidden="1" x14ac:dyDescent="0.45">
      <c r="A37" s="1">
        <v>612</v>
      </c>
      <c r="B37" s="1" t="s">
        <v>34</v>
      </c>
      <c r="C37" s="111">
        <v>254</v>
      </c>
      <c r="D37" s="112">
        <v>40</v>
      </c>
      <c r="E37" s="113">
        <v>40</v>
      </c>
      <c r="F37" s="60"/>
      <c r="G37" s="108">
        <v>40</v>
      </c>
      <c r="H37" s="109">
        <v>254</v>
      </c>
      <c r="I37" s="110">
        <v>40</v>
      </c>
      <c r="J37" s="60"/>
      <c r="K37" s="111">
        <v>254</v>
      </c>
      <c r="L37" s="112">
        <v>40</v>
      </c>
      <c r="M37" s="113">
        <v>40</v>
      </c>
      <c r="N37" s="60"/>
      <c r="O37" s="108">
        <v>40</v>
      </c>
      <c r="P37" s="109">
        <v>254</v>
      </c>
      <c r="Q37" s="110">
        <v>40</v>
      </c>
      <c r="R37" s="60"/>
      <c r="S37" s="108">
        <v>40</v>
      </c>
      <c r="T37" s="109">
        <v>254</v>
      </c>
      <c r="U37" s="110">
        <v>40</v>
      </c>
      <c r="V37" s="60"/>
      <c r="W37" s="108">
        <v>40</v>
      </c>
      <c r="X37" s="109">
        <v>254</v>
      </c>
      <c r="Y37" s="110">
        <v>40</v>
      </c>
      <c r="Z37" s="60"/>
      <c r="AA37" s="89">
        <v>180</v>
      </c>
      <c r="AB37" s="61"/>
      <c r="AC37" s="89">
        <v>180</v>
      </c>
      <c r="AD37" s="61"/>
      <c r="AE37" s="63">
        <v>200</v>
      </c>
      <c r="AF37" s="61"/>
      <c r="AG37" s="63">
        <v>200</v>
      </c>
      <c r="AH37" s="53"/>
      <c r="AI37" s="53"/>
      <c r="AJ37" s="53"/>
      <c r="AL37" s="61"/>
      <c r="AM37" s="63">
        <v>200</v>
      </c>
      <c r="AN37" s="61"/>
      <c r="AO37" s="63">
        <v>200</v>
      </c>
    </row>
    <row r="38" spans="1:41" hidden="1" x14ac:dyDescent="0.45">
      <c r="A38" s="1">
        <v>615</v>
      </c>
      <c r="B38" s="1" t="s">
        <v>35</v>
      </c>
      <c r="C38" s="108">
        <v>40</v>
      </c>
      <c r="D38" s="109">
        <v>254</v>
      </c>
      <c r="E38" s="110">
        <v>40</v>
      </c>
      <c r="F38" s="60"/>
      <c r="G38" s="111">
        <v>254</v>
      </c>
      <c r="H38" s="112">
        <v>40</v>
      </c>
      <c r="I38" s="113">
        <v>40</v>
      </c>
      <c r="J38" s="60"/>
      <c r="K38" s="108">
        <v>40</v>
      </c>
      <c r="L38" s="109">
        <v>254</v>
      </c>
      <c r="M38" s="110">
        <v>40</v>
      </c>
      <c r="N38" s="60"/>
      <c r="O38" s="111">
        <v>254</v>
      </c>
      <c r="P38" s="112">
        <v>40</v>
      </c>
      <c r="Q38" s="113">
        <v>40</v>
      </c>
      <c r="R38" s="60"/>
      <c r="S38" s="111">
        <v>254</v>
      </c>
      <c r="T38" s="112">
        <v>40</v>
      </c>
      <c r="U38" s="113">
        <v>40</v>
      </c>
      <c r="V38" s="60"/>
      <c r="W38" s="111">
        <v>254</v>
      </c>
      <c r="X38" s="112">
        <v>40</v>
      </c>
      <c r="Y38" s="113">
        <v>40</v>
      </c>
      <c r="Z38" s="60"/>
      <c r="AA38" s="89">
        <v>180</v>
      </c>
      <c r="AB38" s="61"/>
      <c r="AC38" s="89">
        <v>180</v>
      </c>
      <c r="AD38" s="61"/>
      <c r="AE38" s="63">
        <v>200</v>
      </c>
      <c r="AF38" s="61"/>
      <c r="AG38" s="63">
        <v>200</v>
      </c>
      <c r="AH38" s="49"/>
      <c r="AI38" s="49"/>
      <c r="AJ38" s="49"/>
      <c r="AL38" s="61"/>
      <c r="AM38" s="63">
        <v>200</v>
      </c>
      <c r="AN38" s="61"/>
      <c r="AO38" s="63">
        <v>200</v>
      </c>
    </row>
    <row r="39" spans="1:41" hidden="1" x14ac:dyDescent="0.45">
      <c r="A39" s="1">
        <v>616</v>
      </c>
      <c r="B39" s="1" t="s">
        <v>36</v>
      </c>
      <c r="C39" s="111">
        <v>254</v>
      </c>
      <c r="D39" s="112">
        <v>40</v>
      </c>
      <c r="E39" s="113">
        <v>40</v>
      </c>
      <c r="F39" s="60"/>
      <c r="G39" s="108">
        <v>40</v>
      </c>
      <c r="H39" s="109">
        <v>254</v>
      </c>
      <c r="I39" s="110">
        <v>40</v>
      </c>
      <c r="J39" s="60"/>
      <c r="K39" s="111">
        <v>254</v>
      </c>
      <c r="L39" s="112">
        <v>40</v>
      </c>
      <c r="M39" s="113">
        <v>40</v>
      </c>
      <c r="N39" s="60"/>
      <c r="O39" s="108">
        <v>40</v>
      </c>
      <c r="P39" s="109">
        <v>254</v>
      </c>
      <c r="Q39" s="110">
        <v>40</v>
      </c>
      <c r="R39" s="60"/>
      <c r="S39" s="108">
        <v>40</v>
      </c>
      <c r="T39" s="109">
        <v>254</v>
      </c>
      <c r="U39" s="110">
        <v>40</v>
      </c>
      <c r="V39" s="60"/>
      <c r="W39" s="108">
        <v>40</v>
      </c>
      <c r="X39" s="109">
        <v>254</v>
      </c>
      <c r="Y39" s="110">
        <v>40</v>
      </c>
      <c r="Z39" s="60"/>
      <c r="AA39" s="89">
        <v>180</v>
      </c>
      <c r="AB39" s="61"/>
      <c r="AC39" s="89">
        <v>180</v>
      </c>
      <c r="AD39" s="61"/>
      <c r="AE39" s="63">
        <v>200</v>
      </c>
      <c r="AF39" s="61"/>
      <c r="AG39" s="63">
        <v>200</v>
      </c>
      <c r="AH39" s="53"/>
      <c r="AI39" s="53"/>
      <c r="AJ39" s="53"/>
      <c r="AL39" s="61"/>
      <c r="AM39" s="63">
        <v>200</v>
      </c>
      <c r="AN39" s="61"/>
      <c r="AO39" s="63">
        <v>200</v>
      </c>
    </row>
    <row r="40" spans="1:41" hidden="1" x14ac:dyDescent="0.45">
      <c r="A40" s="1">
        <v>620</v>
      </c>
      <c r="B40" s="1" t="s">
        <v>37</v>
      </c>
      <c r="C40" s="108">
        <v>40</v>
      </c>
      <c r="D40" s="109">
        <v>254</v>
      </c>
      <c r="E40" s="110">
        <v>40</v>
      </c>
      <c r="F40" s="60"/>
      <c r="G40" s="111">
        <v>254</v>
      </c>
      <c r="H40" s="112">
        <v>40</v>
      </c>
      <c r="I40" s="113">
        <v>40</v>
      </c>
      <c r="J40" s="60"/>
      <c r="K40" s="108">
        <v>40</v>
      </c>
      <c r="L40" s="109">
        <v>254</v>
      </c>
      <c r="M40" s="110">
        <v>40</v>
      </c>
      <c r="N40" s="60"/>
      <c r="O40" s="111">
        <v>254</v>
      </c>
      <c r="P40" s="112">
        <v>40</v>
      </c>
      <c r="Q40" s="113">
        <v>40</v>
      </c>
      <c r="R40" s="60"/>
      <c r="S40" s="111">
        <v>254</v>
      </c>
      <c r="T40" s="112">
        <v>40</v>
      </c>
      <c r="U40" s="113">
        <v>40</v>
      </c>
      <c r="V40" s="60"/>
      <c r="W40" s="111">
        <v>254</v>
      </c>
      <c r="X40" s="112">
        <v>40</v>
      </c>
      <c r="Y40" s="113">
        <v>40</v>
      </c>
      <c r="Z40" s="60"/>
      <c r="AA40" s="89">
        <v>180</v>
      </c>
      <c r="AB40" s="61"/>
      <c r="AC40" s="89">
        <v>180</v>
      </c>
      <c r="AD40" s="61"/>
      <c r="AE40" s="63">
        <v>200</v>
      </c>
      <c r="AF40" s="61"/>
      <c r="AG40" s="63">
        <v>200</v>
      </c>
      <c r="AH40" s="49"/>
      <c r="AI40" s="49"/>
      <c r="AJ40" s="49"/>
      <c r="AL40" s="61"/>
      <c r="AM40" s="63">
        <v>200</v>
      </c>
      <c r="AN40" s="61"/>
      <c r="AO40" s="63">
        <v>200</v>
      </c>
    </row>
    <row r="41" spans="1:41" hidden="1" x14ac:dyDescent="0.45">
      <c r="A41" s="1">
        <v>621</v>
      </c>
      <c r="B41" s="1" t="s">
        <v>38</v>
      </c>
      <c r="C41" s="111">
        <v>254</v>
      </c>
      <c r="D41" s="112">
        <v>40</v>
      </c>
      <c r="E41" s="113">
        <v>40</v>
      </c>
      <c r="F41" s="60"/>
      <c r="G41" s="108">
        <v>40</v>
      </c>
      <c r="H41" s="109">
        <v>254</v>
      </c>
      <c r="I41" s="110">
        <v>40</v>
      </c>
      <c r="J41" s="60"/>
      <c r="K41" s="111">
        <v>254</v>
      </c>
      <c r="L41" s="112">
        <v>40</v>
      </c>
      <c r="M41" s="113">
        <v>40</v>
      </c>
      <c r="N41" s="60"/>
      <c r="O41" s="108">
        <v>40</v>
      </c>
      <c r="P41" s="109">
        <v>254</v>
      </c>
      <c r="Q41" s="110">
        <v>40</v>
      </c>
      <c r="R41" s="60"/>
      <c r="S41" s="108">
        <v>40</v>
      </c>
      <c r="T41" s="109">
        <v>254</v>
      </c>
      <c r="U41" s="110">
        <v>40</v>
      </c>
      <c r="V41" s="60"/>
      <c r="W41" s="108">
        <v>40</v>
      </c>
      <c r="X41" s="109">
        <v>254</v>
      </c>
      <c r="Y41" s="110">
        <v>40</v>
      </c>
      <c r="Z41" s="60"/>
      <c r="AA41" s="89">
        <v>180</v>
      </c>
      <c r="AB41" s="61"/>
      <c r="AC41" s="89">
        <v>180</v>
      </c>
      <c r="AD41" s="61"/>
      <c r="AE41" s="63">
        <v>200</v>
      </c>
      <c r="AF41" s="61"/>
      <c r="AG41" s="63">
        <v>200</v>
      </c>
      <c r="AH41" s="53"/>
      <c r="AI41" s="53"/>
      <c r="AJ41" s="53"/>
      <c r="AL41" s="61"/>
      <c r="AM41" s="63">
        <v>200</v>
      </c>
      <c r="AN41" s="61"/>
      <c r="AO41" s="63">
        <v>200</v>
      </c>
    </row>
    <row r="42" spans="1:41" hidden="1" x14ac:dyDescent="0.45">
      <c r="A42" s="1">
        <v>622</v>
      </c>
      <c r="B42" s="1" t="s">
        <v>39</v>
      </c>
      <c r="C42" s="108">
        <v>40</v>
      </c>
      <c r="D42" s="109">
        <v>254</v>
      </c>
      <c r="E42" s="110">
        <v>40</v>
      </c>
      <c r="F42" s="60"/>
      <c r="G42" s="111">
        <v>254</v>
      </c>
      <c r="H42" s="112">
        <v>40</v>
      </c>
      <c r="I42" s="113">
        <v>40</v>
      </c>
      <c r="J42" s="60"/>
      <c r="K42" s="108">
        <v>40</v>
      </c>
      <c r="L42" s="109">
        <v>254</v>
      </c>
      <c r="M42" s="110">
        <v>40</v>
      </c>
      <c r="N42" s="60"/>
      <c r="O42" s="111">
        <v>254</v>
      </c>
      <c r="P42" s="112">
        <v>40</v>
      </c>
      <c r="Q42" s="113">
        <v>40</v>
      </c>
      <c r="R42" s="60"/>
      <c r="S42" s="111">
        <v>254</v>
      </c>
      <c r="T42" s="112">
        <v>40</v>
      </c>
      <c r="U42" s="113">
        <v>40</v>
      </c>
      <c r="V42" s="60"/>
      <c r="W42" s="111">
        <v>254</v>
      </c>
      <c r="X42" s="112">
        <v>40</v>
      </c>
      <c r="Y42" s="113">
        <v>40</v>
      </c>
      <c r="Z42" s="60"/>
      <c r="AA42" s="89">
        <v>180</v>
      </c>
      <c r="AB42" s="61"/>
      <c r="AC42" s="89">
        <v>180</v>
      </c>
      <c r="AD42" s="61"/>
      <c r="AE42" s="63">
        <v>200</v>
      </c>
      <c r="AF42" s="61"/>
      <c r="AG42" s="63">
        <v>200</v>
      </c>
      <c r="AH42" s="49"/>
      <c r="AI42" s="49"/>
      <c r="AJ42" s="49"/>
      <c r="AL42" s="61"/>
      <c r="AM42" s="63">
        <v>200</v>
      </c>
      <c r="AN42" s="61"/>
      <c r="AO42" s="63">
        <v>200</v>
      </c>
    </row>
    <row r="43" spans="1:41" x14ac:dyDescent="0.45">
      <c r="A43" s="1">
        <v>701</v>
      </c>
      <c r="B43" s="1" t="s">
        <v>40</v>
      </c>
      <c r="C43" s="12">
        <v>240</v>
      </c>
      <c r="D43" s="2">
        <v>240</v>
      </c>
      <c r="E43" s="13">
        <v>240</v>
      </c>
      <c r="F43" s="61"/>
      <c r="G43" s="14">
        <v>230</v>
      </c>
      <c r="H43" s="3">
        <v>230</v>
      </c>
      <c r="I43" s="15">
        <v>230</v>
      </c>
      <c r="J43" s="61"/>
      <c r="K43" s="14">
        <v>230</v>
      </c>
      <c r="L43" s="3">
        <v>230</v>
      </c>
      <c r="M43" s="15">
        <v>230</v>
      </c>
      <c r="N43" s="61"/>
      <c r="O43" s="14">
        <v>230</v>
      </c>
      <c r="P43" s="3">
        <v>230</v>
      </c>
      <c r="Q43" s="15">
        <v>230</v>
      </c>
      <c r="R43" s="61"/>
      <c r="S43" s="14">
        <v>230</v>
      </c>
      <c r="T43" s="3">
        <v>230</v>
      </c>
      <c r="U43" s="15">
        <v>230</v>
      </c>
      <c r="V43" s="61"/>
      <c r="W43" s="14">
        <v>230</v>
      </c>
      <c r="X43" s="3">
        <v>230</v>
      </c>
      <c r="Y43" s="15">
        <v>230</v>
      </c>
      <c r="Z43" s="61"/>
      <c r="AA43" s="89">
        <v>180</v>
      </c>
      <c r="AB43" s="61"/>
      <c r="AC43" s="89">
        <v>180</v>
      </c>
      <c r="AD43" s="61"/>
      <c r="AE43" s="63">
        <v>200</v>
      </c>
      <c r="AF43" s="61"/>
      <c r="AG43" s="63">
        <v>200</v>
      </c>
      <c r="AH43" s="3"/>
      <c r="AI43" s="3"/>
      <c r="AJ43" s="3"/>
      <c r="AL43" s="61"/>
      <c r="AM43" s="63">
        <v>200</v>
      </c>
      <c r="AN43" s="61"/>
      <c r="AO43" s="63">
        <v>200</v>
      </c>
    </row>
    <row r="44" spans="1:41" x14ac:dyDescent="0.45">
      <c r="A44" s="1">
        <v>711</v>
      </c>
      <c r="B44" s="1" t="s">
        <v>41</v>
      </c>
      <c r="C44" s="14">
        <v>230</v>
      </c>
      <c r="D44" s="3">
        <v>230</v>
      </c>
      <c r="E44" s="15">
        <v>230</v>
      </c>
      <c r="F44" s="61"/>
      <c r="G44" s="14">
        <v>230</v>
      </c>
      <c r="H44" s="3">
        <v>230</v>
      </c>
      <c r="I44" s="15">
        <v>230</v>
      </c>
      <c r="J44" s="61"/>
      <c r="K44" s="14">
        <v>230</v>
      </c>
      <c r="L44" s="3">
        <v>230</v>
      </c>
      <c r="M44" s="15">
        <v>230</v>
      </c>
      <c r="N44" s="61"/>
      <c r="O44" s="14">
        <v>230</v>
      </c>
      <c r="P44" s="3">
        <v>230</v>
      </c>
      <c r="Q44" s="15">
        <v>230</v>
      </c>
      <c r="R44" s="61"/>
      <c r="S44" s="14">
        <v>230</v>
      </c>
      <c r="T44" s="3">
        <v>230</v>
      </c>
      <c r="U44" s="15">
        <v>230</v>
      </c>
      <c r="V44" s="61"/>
      <c r="W44" s="14">
        <v>230</v>
      </c>
      <c r="X44" s="3">
        <v>230</v>
      </c>
      <c r="Y44" s="15">
        <v>230</v>
      </c>
      <c r="Z44" s="61"/>
      <c r="AA44" s="89">
        <v>180</v>
      </c>
      <c r="AB44" s="61"/>
      <c r="AC44" s="89">
        <v>180</v>
      </c>
      <c r="AD44" s="61"/>
      <c r="AE44" s="63">
        <v>200</v>
      </c>
      <c r="AF44" s="61"/>
      <c r="AG44" s="63">
        <v>200</v>
      </c>
      <c r="AH44" s="3"/>
      <c r="AI44" s="3"/>
      <c r="AJ44" s="3"/>
      <c r="AL44" s="61"/>
      <c r="AM44" s="63">
        <v>200</v>
      </c>
      <c r="AN44" s="61"/>
      <c r="AO44" s="63">
        <v>200</v>
      </c>
    </row>
    <row r="45" spans="1:41" x14ac:dyDescent="0.45">
      <c r="A45" s="1">
        <v>721</v>
      </c>
      <c r="B45" s="1" t="s">
        <v>42</v>
      </c>
      <c r="C45" s="14">
        <v>230</v>
      </c>
      <c r="D45" s="3">
        <v>230</v>
      </c>
      <c r="E45" s="15">
        <v>230</v>
      </c>
      <c r="F45" s="61"/>
      <c r="G45" s="14">
        <v>230</v>
      </c>
      <c r="H45" s="3">
        <v>230</v>
      </c>
      <c r="I45" s="15">
        <v>230</v>
      </c>
      <c r="J45" s="61"/>
      <c r="K45" s="14">
        <v>230</v>
      </c>
      <c r="L45" s="3">
        <v>230</v>
      </c>
      <c r="M45" s="15">
        <v>230</v>
      </c>
      <c r="N45" s="61"/>
      <c r="O45" s="14">
        <v>230</v>
      </c>
      <c r="P45" s="3">
        <v>230</v>
      </c>
      <c r="Q45" s="15">
        <v>230</v>
      </c>
      <c r="R45" s="61"/>
      <c r="S45" s="14">
        <v>230</v>
      </c>
      <c r="T45" s="3">
        <v>230</v>
      </c>
      <c r="U45" s="15">
        <v>230</v>
      </c>
      <c r="V45" s="61"/>
      <c r="W45" s="14">
        <v>230</v>
      </c>
      <c r="X45" s="3">
        <v>230</v>
      </c>
      <c r="Y45" s="15">
        <v>230</v>
      </c>
      <c r="Z45" s="61"/>
      <c r="AA45" s="89">
        <v>180</v>
      </c>
      <c r="AB45" s="61"/>
      <c r="AC45" s="89">
        <v>180</v>
      </c>
      <c r="AD45" s="61"/>
      <c r="AE45" s="63">
        <v>200</v>
      </c>
      <c r="AF45" s="61"/>
      <c r="AG45" s="63">
        <v>200</v>
      </c>
      <c r="AH45" s="3"/>
      <c r="AI45" s="3"/>
      <c r="AJ45" s="3"/>
      <c r="AL45" s="61"/>
      <c r="AM45" s="63">
        <v>200</v>
      </c>
      <c r="AN45" s="61"/>
      <c r="AO45" s="63">
        <v>200</v>
      </c>
    </row>
    <row r="46" spans="1:41" hidden="1" x14ac:dyDescent="0.45">
      <c r="A46" s="1">
        <v>731</v>
      </c>
      <c r="B46" s="1" t="s">
        <v>43</v>
      </c>
      <c r="C46" s="114">
        <v>254</v>
      </c>
      <c r="D46" s="115">
        <v>153</v>
      </c>
      <c r="E46" s="116">
        <v>51</v>
      </c>
      <c r="F46" s="61"/>
      <c r="G46" s="114">
        <v>254</v>
      </c>
      <c r="H46" s="115">
        <v>153</v>
      </c>
      <c r="I46" s="116">
        <v>51</v>
      </c>
      <c r="J46" s="61"/>
      <c r="K46" s="114">
        <v>254</v>
      </c>
      <c r="L46" s="115">
        <v>153</v>
      </c>
      <c r="M46" s="116">
        <v>51</v>
      </c>
      <c r="N46" s="61"/>
      <c r="O46" s="114">
        <v>254</v>
      </c>
      <c r="P46" s="115">
        <v>153</v>
      </c>
      <c r="Q46" s="116">
        <v>51</v>
      </c>
      <c r="R46" s="61"/>
      <c r="S46" s="114">
        <v>254</v>
      </c>
      <c r="T46" s="115">
        <v>153</v>
      </c>
      <c r="U46" s="116">
        <v>51</v>
      </c>
      <c r="V46" s="61"/>
      <c r="W46" s="114">
        <v>254</v>
      </c>
      <c r="X46" s="115">
        <v>153</v>
      </c>
      <c r="Y46" s="116">
        <v>51</v>
      </c>
      <c r="Z46" s="61"/>
      <c r="AA46" s="89">
        <v>180</v>
      </c>
      <c r="AB46" s="61"/>
      <c r="AC46" s="89">
        <v>180</v>
      </c>
      <c r="AD46" s="61"/>
      <c r="AE46" s="63">
        <v>200</v>
      </c>
      <c r="AF46" s="61"/>
      <c r="AG46" s="63">
        <v>200</v>
      </c>
      <c r="AH46" s="53"/>
      <c r="AI46" s="53"/>
      <c r="AJ46" s="53"/>
      <c r="AL46" s="61"/>
      <c r="AM46" s="63">
        <v>200</v>
      </c>
      <c r="AN46" s="61"/>
      <c r="AO46" s="63">
        <v>200</v>
      </c>
    </row>
    <row r="47" spans="1:41" hidden="1" x14ac:dyDescent="0.45">
      <c r="A47" s="1">
        <v>741</v>
      </c>
      <c r="B47" s="1" t="s">
        <v>44</v>
      </c>
      <c r="C47" s="14">
        <v>230</v>
      </c>
      <c r="D47" s="3">
        <v>230</v>
      </c>
      <c r="E47" s="15">
        <v>230</v>
      </c>
      <c r="F47" s="61"/>
      <c r="G47" s="14">
        <v>230</v>
      </c>
      <c r="H47" s="3">
        <v>230</v>
      </c>
      <c r="I47" s="15">
        <v>230</v>
      </c>
      <c r="J47" s="61"/>
      <c r="K47" s="14">
        <v>230</v>
      </c>
      <c r="L47" s="3">
        <v>230</v>
      </c>
      <c r="M47" s="15">
        <v>230</v>
      </c>
      <c r="N47" s="61"/>
      <c r="O47" s="14">
        <v>230</v>
      </c>
      <c r="P47" s="3">
        <v>230</v>
      </c>
      <c r="Q47" s="15">
        <v>230</v>
      </c>
      <c r="R47" s="61"/>
      <c r="S47" s="14">
        <v>230</v>
      </c>
      <c r="T47" s="3">
        <v>230</v>
      </c>
      <c r="U47" s="15">
        <v>230</v>
      </c>
      <c r="V47" s="61"/>
      <c r="W47" s="14">
        <v>230</v>
      </c>
      <c r="X47" s="3">
        <v>230</v>
      </c>
      <c r="Y47" s="15">
        <v>230</v>
      </c>
      <c r="Z47" s="61"/>
      <c r="AA47" s="89">
        <v>180</v>
      </c>
      <c r="AB47" s="61"/>
      <c r="AC47" s="89">
        <v>180</v>
      </c>
      <c r="AD47" s="61"/>
      <c r="AE47" s="63">
        <v>200</v>
      </c>
      <c r="AF47" s="61"/>
      <c r="AG47" s="63">
        <v>200</v>
      </c>
      <c r="AH47" s="3"/>
      <c r="AI47" s="3"/>
      <c r="AJ47" s="3"/>
      <c r="AL47" s="61"/>
      <c r="AM47" s="63">
        <v>200</v>
      </c>
      <c r="AN47" s="61"/>
      <c r="AO47" s="63">
        <v>200</v>
      </c>
    </row>
    <row r="48" spans="1:41" hidden="1" x14ac:dyDescent="0.45">
      <c r="A48" s="1">
        <v>751</v>
      </c>
      <c r="B48" s="1" t="s">
        <v>45</v>
      </c>
      <c r="C48" s="114">
        <v>254</v>
      </c>
      <c r="D48" s="115">
        <v>153</v>
      </c>
      <c r="E48" s="116">
        <v>51</v>
      </c>
      <c r="F48" s="61"/>
      <c r="G48" s="114">
        <v>254</v>
      </c>
      <c r="H48" s="115">
        <v>153</v>
      </c>
      <c r="I48" s="116">
        <v>51</v>
      </c>
      <c r="J48" s="61"/>
      <c r="K48" s="114">
        <v>254</v>
      </c>
      <c r="L48" s="115">
        <v>153</v>
      </c>
      <c r="M48" s="116">
        <v>51</v>
      </c>
      <c r="N48" s="61"/>
      <c r="O48" s="114">
        <v>254</v>
      </c>
      <c r="P48" s="115">
        <v>153</v>
      </c>
      <c r="Q48" s="116">
        <v>51</v>
      </c>
      <c r="R48" s="61"/>
      <c r="S48" s="114">
        <v>254</v>
      </c>
      <c r="T48" s="115">
        <v>153</v>
      </c>
      <c r="U48" s="116">
        <v>51</v>
      </c>
      <c r="V48" s="61"/>
      <c r="W48" s="114">
        <v>254</v>
      </c>
      <c r="X48" s="115">
        <v>153</v>
      </c>
      <c r="Y48" s="116">
        <v>51</v>
      </c>
      <c r="Z48" s="61"/>
      <c r="AA48" s="89">
        <v>180</v>
      </c>
      <c r="AB48" s="61"/>
      <c r="AC48" s="89">
        <v>180</v>
      </c>
      <c r="AD48" s="61"/>
      <c r="AE48" s="63">
        <v>200</v>
      </c>
      <c r="AF48" s="61"/>
      <c r="AG48" s="63">
        <v>200</v>
      </c>
      <c r="AH48" s="53"/>
      <c r="AI48" s="53"/>
      <c r="AJ48" s="53"/>
      <c r="AL48" s="61"/>
      <c r="AM48" s="63">
        <v>200</v>
      </c>
      <c r="AN48" s="61"/>
      <c r="AO48" s="63">
        <v>200</v>
      </c>
    </row>
    <row r="49" spans="1:41" hidden="1" x14ac:dyDescent="0.45">
      <c r="A49" s="1">
        <v>761</v>
      </c>
      <c r="B49" s="1" t="s">
        <v>46</v>
      </c>
      <c r="C49" s="16">
        <v>120</v>
      </c>
      <c r="D49" s="4">
        <v>120</v>
      </c>
      <c r="E49" s="17">
        <v>120</v>
      </c>
      <c r="F49" s="60"/>
      <c r="G49" s="16">
        <v>120</v>
      </c>
      <c r="H49" s="4">
        <v>120</v>
      </c>
      <c r="I49" s="17">
        <v>120</v>
      </c>
      <c r="J49" s="60"/>
      <c r="K49" s="16">
        <v>120</v>
      </c>
      <c r="L49" s="4">
        <v>120</v>
      </c>
      <c r="M49" s="17">
        <v>120</v>
      </c>
      <c r="N49" s="60"/>
      <c r="O49" s="16">
        <v>120</v>
      </c>
      <c r="P49" s="4">
        <v>120</v>
      </c>
      <c r="Q49" s="17">
        <v>120</v>
      </c>
      <c r="R49" s="60"/>
      <c r="S49" s="16">
        <v>120</v>
      </c>
      <c r="T49" s="4">
        <v>120</v>
      </c>
      <c r="U49" s="17">
        <v>120</v>
      </c>
      <c r="V49" s="60"/>
      <c r="W49" s="16">
        <v>120</v>
      </c>
      <c r="X49" s="4">
        <v>120</v>
      </c>
      <c r="Y49" s="17">
        <v>120</v>
      </c>
      <c r="Z49" s="60"/>
      <c r="AA49" s="89">
        <v>180</v>
      </c>
      <c r="AB49" s="61"/>
      <c r="AC49" s="89">
        <v>180</v>
      </c>
      <c r="AD49" s="61"/>
      <c r="AE49" s="63">
        <v>200</v>
      </c>
      <c r="AF49" s="61"/>
      <c r="AG49" s="63">
        <v>200</v>
      </c>
      <c r="AH49" s="4"/>
      <c r="AI49" s="4"/>
      <c r="AJ49" s="4"/>
      <c r="AL49" s="61"/>
      <c r="AM49" s="63">
        <v>200</v>
      </c>
      <c r="AN49" s="61"/>
      <c r="AO49" s="63">
        <v>200</v>
      </c>
    </row>
    <row r="50" spans="1:41" hidden="1" x14ac:dyDescent="0.45">
      <c r="A50" s="1">
        <v>762</v>
      </c>
      <c r="B50" s="1" t="s">
        <v>47</v>
      </c>
      <c r="C50" s="16">
        <v>120</v>
      </c>
      <c r="D50" s="4">
        <v>120</v>
      </c>
      <c r="E50" s="17">
        <v>120</v>
      </c>
      <c r="F50" s="60"/>
      <c r="G50" s="16">
        <v>120</v>
      </c>
      <c r="H50" s="4">
        <v>120</v>
      </c>
      <c r="I50" s="17">
        <v>120</v>
      </c>
      <c r="J50" s="60"/>
      <c r="K50" s="16">
        <v>120</v>
      </c>
      <c r="L50" s="4">
        <v>120</v>
      </c>
      <c r="M50" s="17">
        <v>120</v>
      </c>
      <c r="N50" s="60"/>
      <c r="O50" s="16">
        <v>120</v>
      </c>
      <c r="P50" s="4">
        <v>120</v>
      </c>
      <c r="Q50" s="17">
        <v>120</v>
      </c>
      <c r="R50" s="60"/>
      <c r="S50" s="16">
        <v>120</v>
      </c>
      <c r="T50" s="4">
        <v>120</v>
      </c>
      <c r="U50" s="17">
        <v>120</v>
      </c>
      <c r="V50" s="60"/>
      <c r="W50" s="16">
        <v>120</v>
      </c>
      <c r="X50" s="4">
        <v>120</v>
      </c>
      <c r="Y50" s="17">
        <v>120</v>
      </c>
      <c r="Z50" s="60"/>
      <c r="AA50" s="89">
        <v>180</v>
      </c>
      <c r="AB50" s="61"/>
      <c r="AC50" s="89">
        <v>180</v>
      </c>
      <c r="AD50" s="61"/>
      <c r="AE50" s="63">
        <v>200</v>
      </c>
      <c r="AF50" s="61"/>
      <c r="AG50" s="63">
        <v>200</v>
      </c>
      <c r="AH50" s="4"/>
      <c r="AI50" s="4"/>
      <c r="AJ50" s="4"/>
      <c r="AL50" s="61"/>
      <c r="AM50" s="63">
        <v>200</v>
      </c>
      <c r="AN50" s="61"/>
      <c r="AO50" s="63">
        <v>200</v>
      </c>
    </row>
    <row r="51" spans="1:41" hidden="1" x14ac:dyDescent="0.45">
      <c r="A51" s="1">
        <v>771</v>
      </c>
      <c r="B51" s="1" t="s">
        <v>48</v>
      </c>
      <c r="C51" s="14">
        <v>230</v>
      </c>
      <c r="D51" s="3">
        <v>230</v>
      </c>
      <c r="E51" s="15">
        <v>230</v>
      </c>
      <c r="F51" s="61"/>
      <c r="G51" s="111">
        <v>254</v>
      </c>
      <c r="H51" s="112">
        <v>40</v>
      </c>
      <c r="I51" s="113">
        <v>40</v>
      </c>
      <c r="J51" s="61"/>
      <c r="K51" s="14">
        <v>230</v>
      </c>
      <c r="L51" s="3">
        <v>230</v>
      </c>
      <c r="M51" s="15">
        <v>230</v>
      </c>
      <c r="N51" s="61"/>
      <c r="O51" s="111">
        <v>254</v>
      </c>
      <c r="P51" s="112">
        <v>40</v>
      </c>
      <c r="Q51" s="113">
        <v>40</v>
      </c>
      <c r="R51" s="61"/>
      <c r="S51" s="111">
        <v>254</v>
      </c>
      <c r="T51" s="112">
        <v>40</v>
      </c>
      <c r="U51" s="113">
        <v>40</v>
      </c>
      <c r="V51" s="61"/>
      <c r="W51" s="111">
        <v>254</v>
      </c>
      <c r="X51" s="112">
        <v>40</v>
      </c>
      <c r="Y51" s="113">
        <v>40</v>
      </c>
      <c r="Z51" s="61"/>
      <c r="AA51" s="89">
        <v>180</v>
      </c>
      <c r="AB51" s="61"/>
      <c r="AC51" s="89">
        <v>180</v>
      </c>
      <c r="AD51" s="61"/>
      <c r="AE51" s="63">
        <v>200</v>
      </c>
      <c r="AF51" s="61"/>
      <c r="AG51" s="63">
        <v>200</v>
      </c>
      <c r="AH51" s="3"/>
      <c r="AI51" s="3"/>
      <c r="AJ51" s="3"/>
      <c r="AL51" s="61"/>
      <c r="AM51" s="63">
        <v>200</v>
      </c>
      <c r="AN51" s="61"/>
      <c r="AO51" s="63">
        <v>200</v>
      </c>
    </row>
    <row r="52" spans="1:41" x14ac:dyDescent="0.45">
      <c r="A52" s="1">
        <v>781</v>
      </c>
      <c r="B52" s="1" t="s">
        <v>49</v>
      </c>
      <c r="C52" s="14">
        <v>230</v>
      </c>
      <c r="D52" s="3">
        <v>230</v>
      </c>
      <c r="E52" s="15">
        <v>230</v>
      </c>
      <c r="F52" s="61"/>
      <c r="G52" s="111">
        <v>254</v>
      </c>
      <c r="H52" s="112">
        <v>40</v>
      </c>
      <c r="I52" s="113">
        <v>40</v>
      </c>
      <c r="J52" s="61"/>
      <c r="K52" s="14">
        <v>230</v>
      </c>
      <c r="L52" s="3">
        <v>230</v>
      </c>
      <c r="M52" s="15">
        <v>230</v>
      </c>
      <c r="N52" s="61"/>
      <c r="O52" s="111">
        <v>254</v>
      </c>
      <c r="P52" s="112">
        <v>40</v>
      </c>
      <c r="Q52" s="113">
        <v>40</v>
      </c>
      <c r="R52" s="61"/>
      <c r="S52" s="111">
        <v>254</v>
      </c>
      <c r="T52" s="112">
        <v>40</v>
      </c>
      <c r="U52" s="113">
        <v>40</v>
      </c>
      <c r="V52" s="61"/>
      <c r="W52" s="111">
        <v>254</v>
      </c>
      <c r="X52" s="112">
        <v>40</v>
      </c>
      <c r="Y52" s="113">
        <v>40</v>
      </c>
      <c r="Z52" s="61"/>
      <c r="AA52" s="89">
        <v>180</v>
      </c>
      <c r="AB52" s="61"/>
      <c r="AC52" s="89">
        <v>180</v>
      </c>
      <c r="AD52" s="61"/>
      <c r="AE52" s="63">
        <v>200</v>
      </c>
      <c r="AF52" s="61"/>
      <c r="AG52" s="63">
        <v>200</v>
      </c>
      <c r="AH52" s="3"/>
      <c r="AI52" s="3"/>
      <c r="AJ52" s="3"/>
      <c r="AL52" s="61"/>
      <c r="AM52" s="63">
        <v>200</v>
      </c>
      <c r="AN52" s="61"/>
      <c r="AO52" s="63">
        <v>200</v>
      </c>
    </row>
    <row r="53" spans="1:41" x14ac:dyDescent="0.45">
      <c r="A53" s="1">
        <v>800</v>
      </c>
      <c r="B53" s="1" t="s">
        <v>50</v>
      </c>
      <c r="C53" s="96">
        <v>150</v>
      </c>
      <c r="D53" s="97">
        <v>254</v>
      </c>
      <c r="E53" s="98">
        <v>254</v>
      </c>
      <c r="F53" s="61"/>
      <c r="G53" s="147">
        <v>254</v>
      </c>
      <c r="H53" s="148">
        <v>254</v>
      </c>
      <c r="I53" s="149">
        <v>254</v>
      </c>
      <c r="J53" s="61"/>
      <c r="K53" s="126">
        <v>220</v>
      </c>
      <c r="L53" s="127">
        <v>254</v>
      </c>
      <c r="M53" s="128">
        <v>254</v>
      </c>
      <c r="N53" s="61"/>
      <c r="O53" s="165">
        <v>240</v>
      </c>
      <c r="P53" s="166">
        <v>254</v>
      </c>
      <c r="Q53" s="167">
        <v>254</v>
      </c>
      <c r="R53" s="61"/>
      <c r="S53" s="165">
        <v>240</v>
      </c>
      <c r="T53" s="166">
        <v>254</v>
      </c>
      <c r="U53" s="167">
        <v>254</v>
      </c>
      <c r="V53" s="61"/>
      <c r="W53" s="165">
        <v>240</v>
      </c>
      <c r="X53" s="166">
        <v>254</v>
      </c>
      <c r="Y53" s="167">
        <v>254</v>
      </c>
      <c r="Z53" s="61"/>
      <c r="AA53" s="89">
        <v>180</v>
      </c>
      <c r="AB53" s="61"/>
      <c r="AC53" s="89">
        <v>180</v>
      </c>
      <c r="AD53" s="61"/>
      <c r="AE53" s="63">
        <v>200</v>
      </c>
      <c r="AF53" s="61"/>
      <c r="AG53" s="63">
        <v>200</v>
      </c>
      <c r="AH53" s="54"/>
      <c r="AI53" s="54"/>
      <c r="AJ53" s="54"/>
      <c r="AL53" s="61"/>
      <c r="AM53" s="63">
        <v>200</v>
      </c>
      <c r="AN53" s="61"/>
      <c r="AO53" s="63">
        <v>200</v>
      </c>
    </row>
    <row r="54" spans="1:41" x14ac:dyDescent="0.45">
      <c r="A54" s="1">
        <v>801</v>
      </c>
      <c r="B54" s="1" t="s">
        <v>51</v>
      </c>
      <c r="C54" s="96">
        <v>150</v>
      </c>
      <c r="D54" s="97">
        <v>254</v>
      </c>
      <c r="E54" s="98">
        <v>254</v>
      </c>
      <c r="F54" s="61"/>
      <c r="G54" s="147">
        <v>254</v>
      </c>
      <c r="H54" s="148">
        <v>254</v>
      </c>
      <c r="I54" s="149">
        <v>254</v>
      </c>
      <c r="J54" s="61"/>
      <c r="K54" s="156">
        <v>254</v>
      </c>
      <c r="L54" s="157">
        <v>240</v>
      </c>
      <c r="M54" s="158">
        <v>240</v>
      </c>
      <c r="N54" s="61"/>
      <c r="O54" s="14">
        <v>230</v>
      </c>
      <c r="P54" s="3">
        <v>230</v>
      </c>
      <c r="Q54" s="15">
        <v>230</v>
      </c>
      <c r="R54" s="61"/>
      <c r="S54" s="14">
        <v>230</v>
      </c>
      <c r="T54" s="3">
        <v>230</v>
      </c>
      <c r="U54" s="15">
        <v>230</v>
      </c>
      <c r="V54" s="61"/>
      <c r="W54" s="14">
        <v>230</v>
      </c>
      <c r="X54" s="3">
        <v>230</v>
      </c>
      <c r="Y54" s="15">
        <v>230</v>
      </c>
      <c r="Z54" s="61"/>
      <c r="AA54" s="89">
        <v>180</v>
      </c>
      <c r="AB54" s="61"/>
      <c r="AC54" s="89">
        <v>180</v>
      </c>
      <c r="AD54" s="61"/>
      <c r="AE54" s="63">
        <v>200</v>
      </c>
      <c r="AF54" s="61"/>
      <c r="AG54" s="63">
        <v>200</v>
      </c>
      <c r="AH54" s="53"/>
      <c r="AI54" s="53"/>
      <c r="AJ54" s="53"/>
      <c r="AL54" s="61"/>
      <c r="AM54" s="63">
        <v>200</v>
      </c>
      <c r="AN54" s="61"/>
      <c r="AO54" s="63">
        <v>200</v>
      </c>
    </row>
    <row r="55" spans="1:41" x14ac:dyDescent="0.45">
      <c r="A55" s="1">
        <v>802</v>
      </c>
      <c r="B55" s="1" t="s">
        <v>52</v>
      </c>
      <c r="C55" s="96">
        <v>150</v>
      </c>
      <c r="D55" s="97">
        <v>254</v>
      </c>
      <c r="E55" s="98">
        <v>254</v>
      </c>
      <c r="F55" s="61"/>
      <c r="G55" s="147">
        <v>254</v>
      </c>
      <c r="H55" s="148">
        <v>254</v>
      </c>
      <c r="I55" s="149">
        <v>254</v>
      </c>
      <c r="J55" s="61"/>
      <c r="K55" s="35">
        <v>230</v>
      </c>
      <c r="L55" s="36">
        <v>240</v>
      </c>
      <c r="M55" s="37">
        <v>230</v>
      </c>
      <c r="N55" s="61"/>
      <c r="O55" s="165">
        <v>240</v>
      </c>
      <c r="P55" s="166">
        <v>254</v>
      </c>
      <c r="Q55" s="167">
        <v>254</v>
      </c>
      <c r="R55" s="61"/>
      <c r="S55" s="165">
        <v>240</v>
      </c>
      <c r="T55" s="166">
        <v>254</v>
      </c>
      <c r="U55" s="167">
        <v>254</v>
      </c>
      <c r="V55" s="61"/>
      <c r="W55" s="165">
        <v>240</v>
      </c>
      <c r="X55" s="166">
        <v>254</v>
      </c>
      <c r="Y55" s="167">
        <v>254</v>
      </c>
      <c r="Z55" s="61"/>
      <c r="AA55" s="89">
        <v>180</v>
      </c>
      <c r="AB55" s="61"/>
      <c r="AC55" s="89">
        <v>180</v>
      </c>
      <c r="AD55" s="61"/>
      <c r="AE55" s="63">
        <v>200</v>
      </c>
      <c r="AF55" s="61"/>
      <c r="AG55" s="63">
        <v>200</v>
      </c>
      <c r="AH55" s="3"/>
      <c r="AI55" s="3"/>
      <c r="AJ55" s="3"/>
      <c r="AL55" s="61"/>
      <c r="AM55" s="63">
        <v>200</v>
      </c>
      <c r="AN55" s="61"/>
      <c r="AO55" s="63">
        <v>200</v>
      </c>
    </row>
    <row r="56" spans="1:41" x14ac:dyDescent="0.45">
      <c r="A56" s="1">
        <v>803</v>
      </c>
      <c r="B56" s="1" t="s">
        <v>53</v>
      </c>
      <c r="C56" s="96">
        <v>150</v>
      </c>
      <c r="D56" s="97">
        <v>254</v>
      </c>
      <c r="E56" s="98">
        <v>254</v>
      </c>
      <c r="F56" s="61"/>
      <c r="G56" s="150">
        <v>250</v>
      </c>
      <c r="H56" s="151">
        <v>200</v>
      </c>
      <c r="I56" s="152">
        <v>254</v>
      </c>
      <c r="J56" s="61"/>
      <c r="K56" s="38">
        <v>210</v>
      </c>
      <c r="L56" s="39">
        <v>240</v>
      </c>
      <c r="M56" s="40">
        <v>220</v>
      </c>
      <c r="N56" s="61"/>
      <c r="O56" s="29">
        <v>250</v>
      </c>
      <c r="P56" s="30">
        <v>240</v>
      </c>
      <c r="Q56" s="31">
        <v>250</v>
      </c>
      <c r="R56" s="61"/>
      <c r="S56" s="29">
        <v>250</v>
      </c>
      <c r="T56" s="30">
        <v>240</v>
      </c>
      <c r="U56" s="31">
        <v>250</v>
      </c>
      <c r="V56" s="61"/>
      <c r="W56" s="29">
        <v>250</v>
      </c>
      <c r="X56" s="30">
        <v>240</v>
      </c>
      <c r="Y56" s="31">
        <v>250</v>
      </c>
      <c r="Z56" s="61"/>
      <c r="AA56" s="89">
        <v>180</v>
      </c>
      <c r="AB56" s="61"/>
      <c r="AC56" s="89">
        <v>180</v>
      </c>
      <c r="AD56" s="61"/>
      <c r="AE56" s="63">
        <v>200</v>
      </c>
      <c r="AF56" s="61"/>
      <c r="AG56" s="63">
        <v>200</v>
      </c>
      <c r="AH56" s="55"/>
      <c r="AI56" s="55"/>
      <c r="AJ56" s="55"/>
      <c r="AL56" s="61"/>
      <c r="AM56" s="63">
        <v>200</v>
      </c>
      <c r="AN56" s="61"/>
      <c r="AO56" s="63">
        <v>200</v>
      </c>
    </row>
    <row r="57" spans="1:41" x14ac:dyDescent="0.45">
      <c r="A57" s="1">
        <v>804</v>
      </c>
      <c r="B57" s="1" t="s">
        <v>54</v>
      </c>
      <c r="C57" s="96">
        <v>150</v>
      </c>
      <c r="D57" s="97">
        <v>254</v>
      </c>
      <c r="E57" s="98">
        <v>254</v>
      </c>
      <c r="F57" s="61"/>
      <c r="G57" s="150">
        <v>250</v>
      </c>
      <c r="H57" s="151">
        <v>200</v>
      </c>
      <c r="I57" s="152">
        <v>254</v>
      </c>
      <c r="J57" s="61"/>
      <c r="K57" s="41">
        <v>200</v>
      </c>
      <c r="L57" s="42">
        <v>200</v>
      </c>
      <c r="M57" s="43">
        <v>200</v>
      </c>
      <c r="N57" s="61"/>
      <c r="O57" s="29">
        <v>250</v>
      </c>
      <c r="P57" s="30">
        <v>240</v>
      </c>
      <c r="Q57" s="31">
        <v>250</v>
      </c>
      <c r="R57" s="61"/>
      <c r="S57" s="29">
        <v>250</v>
      </c>
      <c r="T57" s="30">
        <v>240</v>
      </c>
      <c r="U57" s="31">
        <v>250</v>
      </c>
      <c r="V57" s="61"/>
      <c r="W57" s="29">
        <v>250</v>
      </c>
      <c r="X57" s="30">
        <v>240</v>
      </c>
      <c r="Y57" s="31">
        <v>250</v>
      </c>
      <c r="Z57" s="61"/>
      <c r="AA57" s="89">
        <v>180</v>
      </c>
      <c r="AB57" s="61"/>
      <c r="AC57" s="89">
        <v>180</v>
      </c>
      <c r="AD57" s="61"/>
      <c r="AE57" s="63">
        <v>200</v>
      </c>
      <c r="AF57" s="61"/>
      <c r="AG57" s="63">
        <v>200</v>
      </c>
      <c r="AH57" s="42"/>
      <c r="AI57" s="42"/>
      <c r="AJ57" s="42"/>
      <c r="AL57" s="61"/>
      <c r="AM57" s="63">
        <v>200</v>
      </c>
      <c r="AN57" s="61"/>
      <c r="AO57" s="63">
        <v>200</v>
      </c>
    </row>
    <row r="58" spans="1:41" x14ac:dyDescent="0.45">
      <c r="A58" s="1">
        <v>900</v>
      </c>
      <c r="B58" s="1" t="s">
        <v>49</v>
      </c>
      <c r="C58" s="117">
        <v>40</v>
      </c>
      <c r="D58" s="118">
        <v>40</v>
      </c>
      <c r="E58" s="119">
        <v>254</v>
      </c>
      <c r="F58" s="60"/>
      <c r="G58" s="111">
        <v>254</v>
      </c>
      <c r="H58" s="112">
        <v>40</v>
      </c>
      <c r="I58" s="113">
        <v>40</v>
      </c>
      <c r="J58" s="60"/>
      <c r="K58" s="117">
        <v>40</v>
      </c>
      <c r="L58" s="118">
        <v>40</v>
      </c>
      <c r="M58" s="119">
        <v>254</v>
      </c>
      <c r="N58" s="60"/>
      <c r="O58" s="111">
        <v>254</v>
      </c>
      <c r="P58" s="112">
        <v>40</v>
      </c>
      <c r="Q58" s="113">
        <v>40</v>
      </c>
      <c r="R58" s="60"/>
      <c r="S58" s="111">
        <v>254</v>
      </c>
      <c r="T58" s="112">
        <v>40</v>
      </c>
      <c r="U58" s="113">
        <v>40</v>
      </c>
      <c r="V58" s="60"/>
      <c r="W58" s="111">
        <v>254</v>
      </c>
      <c r="X58" s="112">
        <v>40</v>
      </c>
      <c r="Y58" s="113">
        <v>40</v>
      </c>
      <c r="Z58" s="60"/>
      <c r="AA58" s="89">
        <v>180</v>
      </c>
      <c r="AB58" s="61"/>
      <c r="AC58" s="89">
        <v>180</v>
      </c>
      <c r="AD58" s="61"/>
      <c r="AE58" s="63">
        <v>200</v>
      </c>
      <c r="AF58" s="61"/>
      <c r="AG58" s="63">
        <v>200</v>
      </c>
      <c r="AH58" s="49"/>
      <c r="AI58" s="49"/>
      <c r="AJ58" s="49"/>
      <c r="AL58" s="61"/>
      <c r="AM58" s="63">
        <v>200</v>
      </c>
      <c r="AN58" s="61"/>
      <c r="AO58" s="63">
        <v>200</v>
      </c>
    </row>
    <row r="59" spans="1:41" x14ac:dyDescent="0.45">
      <c r="A59" s="1">
        <v>901</v>
      </c>
      <c r="B59" s="1" t="s">
        <v>55</v>
      </c>
      <c r="C59" s="120">
        <v>50</v>
      </c>
      <c r="D59" s="121">
        <v>50</v>
      </c>
      <c r="E59" s="122">
        <v>254</v>
      </c>
      <c r="F59" s="60"/>
      <c r="G59" s="111">
        <v>254</v>
      </c>
      <c r="H59" s="112">
        <v>40</v>
      </c>
      <c r="I59" s="113">
        <v>40</v>
      </c>
      <c r="J59" s="60"/>
      <c r="K59" s="120">
        <v>50</v>
      </c>
      <c r="L59" s="121">
        <v>50</v>
      </c>
      <c r="M59" s="122">
        <v>254</v>
      </c>
      <c r="N59" s="60"/>
      <c r="O59" s="111">
        <v>254</v>
      </c>
      <c r="P59" s="112">
        <v>40</v>
      </c>
      <c r="Q59" s="113">
        <v>40</v>
      </c>
      <c r="R59" s="60"/>
      <c r="S59" s="111">
        <v>254</v>
      </c>
      <c r="T59" s="112">
        <v>40</v>
      </c>
      <c r="U59" s="113">
        <v>40</v>
      </c>
      <c r="V59" s="60"/>
      <c r="W59" s="111">
        <v>254</v>
      </c>
      <c r="X59" s="112">
        <v>40</v>
      </c>
      <c r="Y59" s="113">
        <v>40</v>
      </c>
      <c r="Z59" s="60"/>
      <c r="AA59" s="89">
        <v>180</v>
      </c>
      <c r="AB59" s="61"/>
      <c r="AC59" s="89">
        <v>180</v>
      </c>
      <c r="AD59" s="61"/>
      <c r="AE59" s="63">
        <v>200</v>
      </c>
      <c r="AF59" s="61"/>
      <c r="AG59" s="63">
        <v>200</v>
      </c>
      <c r="AH59" s="56"/>
      <c r="AI59" s="56"/>
      <c r="AJ59" s="56"/>
      <c r="AL59" s="61"/>
      <c r="AM59" s="63">
        <v>200</v>
      </c>
      <c r="AN59" s="61"/>
      <c r="AO59" s="63">
        <v>200</v>
      </c>
    </row>
    <row r="60" spans="1:41" x14ac:dyDescent="0.45">
      <c r="A60" s="1">
        <v>902</v>
      </c>
      <c r="B60" s="1" t="s">
        <v>56</v>
      </c>
      <c r="C60" s="123">
        <v>60</v>
      </c>
      <c r="D60" s="124">
        <v>60</v>
      </c>
      <c r="E60" s="125">
        <v>254</v>
      </c>
      <c r="F60" s="61"/>
      <c r="G60" s="111">
        <v>254</v>
      </c>
      <c r="H60" s="112">
        <v>40</v>
      </c>
      <c r="I60" s="113">
        <v>40</v>
      </c>
      <c r="J60" s="61"/>
      <c r="K60" s="123">
        <v>60</v>
      </c>
      <c r="L60" s="124">
        <v>60</v>
      </c>
      <c r="M60" s="125">
        <v>254</v>
      </c>
      <c r="N60" s="61"/>
      <c r="O60" s="111">
        <v>254</v>
      </c>
      <c r="P60" s="112">
        <v>40</v>
      </c>
      <c r="Q60" s="113">
        <v>40</v>
      </c>
      <c r="R60" s="61"/>
      <c r="S60" s="111">
        <v>254</v>
      </c>
      <c r="T60" s="112">
        <v>40</v>
      </c>
      <c r="U60" s="113">
        <v>40</v>
      </c>
      <c r="V60" s="61"/>
      <c r="W60" s="111">
        <v>254</v>
      </c>
      <c r="X60" s="112">
        <v>40</v>
      </c>
      <c r="Y60" s="113">
        <v>40</v>
      </c>
      <c r="Z60" s="61"/>
      <c r="AA60" s="89">
        <v>180</v>
      </c>
      <c r="AB60" s="61"/>
      <c r="AC60" s="89">
        <v>180</v>
      </c>
      <c r="AD60" s="61"/>
      <c r="AE60" s="63">
        <v>200</v>
      </c>
      <c r="AF60" s="61"/>
      <c r="AG60" s="63">
        <v>200</v>
      </c>
      <c r="AH60" s="52"/>
      <c r="AI60" s="52"/>
      <c r="AJ60" s="52"/>
      <c r="AL60" s="61"/>
      <c r="AM60" s="63">
        <v>200</v>
      </c>
      <c r="AN60" s="61"/>
      <c r="AO60" s="63">
        <v>200</v>
      </c>
    </row>
    <row r="61" spans="1:41" x14ac:dyDescent="0.45">
      <c r="A61" s="1">
        <v>903</v>
      </c>
      <c r="B61" s="1" t="s">
        <v>57</v>
      </c>
      <c r="C61" s="18">
        <v>35</v>
      </c>
      <c r="D61" s="5">
        <v>55</v>
      </c>
      <c r="E61" s="19">
        <v>204</v>
      </c>
      <c r="F61" s="60"/>
      <c r="G61" s="32">
        <v>200</v>
      </c>
      <c r="H61" s="33">
        <v>200</v>
      </c>
      <c r="I61" s="34">
        <v>204</v>
      </c>
      <c r="J61" s="60"/>
      <c r="K61" s="46">
        <v>0</v>
      </c>
      <c r="L61" s="47">
        <v>204</v>
      </c>
      <c r="M61" s="48">
        <v>204</v>
      </c>
      <c r="N61" s="60"/>
      <c r="O61" s="32">
        <v>200</v>
      </c>
      <c r="P61" s="33">
        <v>200</v>
      </c>
      <c r="Q61" s="34">
        <v>204</v>
      </c>
      <c r="R61" s="60"/>
      <c r="S61" s="32">
        <v>200</v>
      </c>
      <c r="T61" s="33">
        <v>200</v>
      </c>
      <c r="U61" s="34">
        <v>204</v>
      </c>
      <c r="V61" s="60"/>
      <c r="W61" s="32">
        <v>200</v>
      </c>
      <c r="X61" s="33">
        <v>200</v>
      </c>
      <c r="Y61" s="34">
        <v>204</v>
      </c>
      <c r="Z61" s="60"/>
      <c r="AA61" s="89">
        <v>180</v>
      </c>
      <c r="AB61" s="61"/>
      <c r="AC61" s="89">
        <v>180</v>
      </c>
      <c r="AD61" s="61"/>
      <c r="AE61" s="63">
        <v>200</v>
      </c>
      <c r="AF61" s="61"/>
      <c r="AG61" s="63">
        <v>200</v>
      </c>
      <c r="AH61" s="45"/>
      <c r="AI61" s="45"/>
      <c r="AJ61" s="45"/>
      <c r="AL61" s="61"/>
      <c r="AM61" s="63">
        <v>200</v>
      </c>
      <c r="AN61" s="61"/>
      <c r="AO61" s="63">
        <v>200</v>
      </c>
    </row>
    <row r="62" spans="1:41" x14ac:dyDescent="0.45">
      <c r="A62" s="1">
        <v>904</v>
      </c>
      <c r="B62" s="1" t="s">
        <v>58</v>
      </c>
      <c r="C62" s="114">
        <v>254</v>
      </c>
      <c r="D62" s="115">
        <v>153</v>
      </c>
      <c r="E62" s="116">
        <v>51</v>
      </c>
      <c r="F62" s="61"/>
      <c r="G62" s="153">
        <v>102</v>
      </c>
      <c r="H62" s="154">
        <v>254</v>
      </c>
      <c r="I62" s="155">
        <v>254</v>
      </c>
      <c r="J62" s="61"/>
      <c r="K62" s="159">
        <v>254</v>
      </c>
      <c r="L62" s="160">
        <v>193</v>
      </c>
      <c r="M62" s="161">
        <v>78</v>
      </c>
      <c r="N62" s="61"/>
      <c r="O62" s="153">
        <v>102</v>
      </c>
      <c r="P62" s="154">
        <v>254</v>
      </c>
      <c r="Q62" s="155">
        <v>254</v>
      </c>
      <c r="R62" s="61"/>
      <c r="S62" s="153">
        <v>102</v>
      </c>
      <c r="T62" s="154">
        <v>254</v>
      </c>
      <c r="U62" s="155">
        <v>254</v>
      </c>
      <c r="V62" s="61"/>
      <c r="W62" s="153">
        <v>102</v>
      </c>
      <c r="X62" s="154">
        <v>254</v>
      </c>
      <c r="Y62" s="155">
        <v>254</v>
      </c>
      <c r="Z62" s="61"/>
      <c r="AA62" s="89">
        <v>180</v>
      </c>
      <c r="AB62" s="61"/>
      <c r="AC62" s="89">
        <v>180</v>
      </c>
      <c r="AD62" s="61"/>
      <c r="AE62" s="63">
        <v>200</v>
      </c>
      <c r="AF62" s="61"/>
      <c r="AG62" s="63">
        <v>200</v>
      </c>
      <c r="AH62" s="53"/>
      <c r="AI62" s="53"/>
      <c r="AJ62" s="53"/>
      <c r="AL62" s="61"/>
      <c r="AM62" s="63">
        <v>200</v>
      </c>
      <c r="AN62" s="61"/>
      <c r="AO62" s="63">
        <v>200</v>
      </c>
    </row>
    <row r="63" spans="1:41" x14ac:dyDescent="0.45">
      <c r="A63" s="1">
        <v>905</v>
      </c>
      <c r="B63" s="1" t="s">
        <v>59</v>
      </c>
      <c r="C63" s="96">
        <v>150</v>
      </c>
      <c r="D63" s="97">
        <v>254</v>
      </c>
      <c r="E63" s="98">
        <v>254</v>
      </c>
      <c r="F63" s="61"/>
      <c r="G63" s="20">
        <v>225</v>
      </c>
      <c r="H63" s="6">
        <v>225</v>
      </c>
      <c r="I63" s="21">
        <v>225</v>
      </c>
      <c r="J63" s="61"/>
      <c r="K63" s="20">
        <v>225</v>
      </c>
      <c r="L63" s="6">
        <v>225</v>
      </c>
      <c r="M63" s="21">
        <v>225</v>
      </c>
      <c r="N63" s="61"/>
      <c r="O63" s="20">
        <v>225</v>
      </c>
      <c r="P63" s="6">
        <v>225</v>
      </c>
      <c r="Q63" s="21">
        <v>225</v>
      </c>
      <c r="R63" s="61"/>
      <c r="S63" s="20">
        <v>225</v>
      </c>
      <c r="T63" s="6">
        <v>225</v>
      </c>
      <c r="U63" s="21">
        <v>225</v>
      </c>
      <c r="V63" s="61"/>
      <c r="W63" s="20">
        <v>225</v>
      </c>
      <c r="X63" s="6">
        <v>225</v>
      </c>
      <c r="Y63" s="21">
        <v>225</v>
      </c>
      <c r="Z63" s="61"/>
      <c r="AA63" s="89">
        <v>180</v>
      </c>
      <c r="AB63" s="61"/>
      <c r="AC63" s="89">
        <v>180</v>
      </c>
      <c r="AD63" s="61"/>
      <c r="AE63" s="63">
        <v>200</v>
      </c>
      <c r="AF63" s="61"/>
      <c r="AG63" s="63">
        <v>200</v>
      </c>
      <c r="AH63" s="6"/>
      <c r="AI63" s="6"/>
      <c r="AJ63" s="6"/>
      <c r="AL63" s="61"/>
      <c r="AM63" s="63">
        <v>200</v>
      </c>
      <c r="AN63" s="61"/>
      <c r="AO63" s="63">
        <v>200</v>
      </c>
    </row>
    <row r="64" spans="1:41" x14ac:dyDescent="0.45">
      <c r="A64" s="1">
        <v>906</v>
      </c>
      <c r="B64" s="1" t="s">
        <v>60</v>
      </c>
      <c r="C64" s="117">
        <v>40</v>
      </c>
      <c r="D64" s="118">
        <v>40</v>
      </c>
      <c r="E64" s="119">
        <v>254</v>
      </c>
      <c r="F64" s="60"/>
      <c r="G64" s="153">
        <v>102</v>
      </c>
      <c r="H64" s="154">
        <v>254</v>
      </c>
      <c r="I64" s="155">
        <v>254</v>
      </c>
      <c r="J64" s="60"/>
      <c r="K64" s="153">
        <v>102</v>
      </c>
      <c r="L64" s="154">
        <v>254</v>
      </c>
      <c r="M64" s="155">
        <v>254</v>
      </c>
      <c r="N64" s="60"/>
      <c r="O64" s="153">
        <v>102</v>
      </c>
      <c r="P64" s="154">
        <v>254</v>
      </c>
      <c r="Q64" s="155">
        <v>254</v>
      </c>
      <c r="R64" s="60"/>
      <c r="S64" s="153">
        <v>102</v>
      </c>
      <c r="T64" s="154">
        <v>254</v>
      </c>
      <c r="U64" s="155">
        <v>254</v>
      </c>
      <c r="V64" s="60"/>
      <c r="W64" s="153">
        <v>102</v>
      </c>
      <c r="X64" s="154">
        <v>254</v>
      </c>
      <c r="Y64" s="155">
        <v>254</v>
      </c>
      <c r="Z64" s="60"/>
      <c r="AA64" s="89">
        <v>180</v>
      </c>
      <c r="AB64" s="61"/>
      <c r="AC64" s="89">
        <v>180</v>
      </c>
      <c r="AD64" s="61"/>
      <c r="AE64" s="63">
        <v>200</v>
      </c>
      <c r="AF64" s="61"/>
      <c r="AG64" s="63">
        <v>200</v>
      </c>
      <c r="AH64" s="57"/>
      <c r="AI64" s="57"/>
      <c r="AJ64" s="57"/>
      <c r="AL64" s="61"/>
      <c r="AM64" s="63">
        <v>200</v>
      </c>
      <c r="AN64" s="61"/>
      <c r="AO64" s="63">
        <v>200</v>
      </c>
    </row>
    <row r="65" spans="1:43" x14ac:dyDescent="0.45">
      <c r="A65" s="1">
        <v>951</v>
      </c>
      <c r="B65" s="1" t="s">
        <v>61</v>
      </c>
      <c r="C65" s="96">
        <v>150</v>
      </c>
      <c r="D65" s="97">
        <v>254</v>
      </c>
      <c r="E65" s="98">
        <v>254</v>
      </c>
      <c r="F65" s="61"/>
      <c r="G65" s="147">
        <v>254</v>
      </c>
      <c r="H65" s="148">
        <v>254</v>
      </c>
      <c r="I65" s="149">
        <v>254</v>
      </c>
      <c r="J65" s="61"/>
      <c r="K65" s="147">
        <v>254</v>
      </c>
      <c r="L65" s="148">
        <v>254</v>
      </c>
      <c r="M65" s="149">
        <v>254</v>
      </c>
      <c r="N65" s="61"/>
      <c r="O65" s="147">
        <v>254</v>
      </c>
      <c r="P65" s="148">
        <v>254</v>
      </c>
      <c r="Q65" s="149">
        <v>254</v>
      </c>
      <c r="R65" s="61"/>
      <c r="S65" s="147">
        <v>254</v>
      </c>
      <c r="T65" s="148">
        <v>254</v>
      </c>
      <c r="U65" s="149">
        <v>254</v>
      </c>
      <c r="V65" s="61"/>
      <c r="W65" s="147">
        <v>254</v>
      </c>
      <c r="X65" s="148">
        <v>254</v>
      </c>
      <c r="Y65" s="149">
        <v>254</v>
      </c>
      <c r="Z65" s="61"/>
      <c r="AA65" s="89">
        <v>180</v>
      </c>
      <c r="AB65" s="61"/>
      <c r="AC65" s="89">
        <v>180</v>
      </c>
      <c r="AD65" s="61"/>
      <c r="AE65" s="63">
        <v>200</v>
      </c>
      <c r="AF65" s="61"/>
      <c r="AG65" s="63">
        <v>200</v>
      </c>
      <c r="AH65" s="53"/>
      <c r="AI65" s="53"/>
      <c r="AJ65" s="53"/>
      <c r="AL65" s="61"/>
      <c r="AM65" s="63">
        <v>200</v>
      </c>
      <c r="AN65" s="61"/>
      <c r="AO65" s="63">
        <v>200</v>
      </c>
    </row>
    <row r="66" spans="1:43" x14ac:dyDescent="0.45">
      <c r="A66" s="1">
        <v>952</v>
      </c>
      <c r="B66" s="1" t="s">
        <v>62</v>
      </c>
      <c r="C66" s="96">
        <v>150</v>
      </c>
      <c r="D66" s="97">
        <v>254</v>
      </c>
      <c r="E66" s="98">
        <v>254</v>
      </c>
      <c r="F66" s="61"/>
      <c r="G66" s="147">
        <v>254</v>
      </c>
      <c r="H66" s="148">
        <v>254</v>
      </c>
      <c r="I66" s="149">
        <v>254</v>
      </c>
      <c r="J66" s="61"/>
      <c r="K66" s="22">
        <v>245</v>
      </c>
      <c r="L66" s="7">
        <v>245</v>
      </c>
      <c r="M66" s="23">
        <v>245</v>
      </c>
      <c r="N66" s="61"/>
      <c r="O66" s="22">
        <v>245</v>
      </c>
      <c r="P66" s="7">
        <v>245</v>
      </c>
      <c r="Q66" s="23">
        <v>245</v>
      </c>
      <c r="R66" s="61"/>
      <c r="S66" s="22">
        <v>245</v>
      </c>
      <c r="T66" s="7">
        <v>245</v>
      </c>
      <c r="U66" s="23">
        <v>245</v>
      </c>
      <c r="V66" s="61"/>
      <c r="W66" s="22">
        <v>245</v>
      </c>
      <c r="X66" s="7">
        <v>245</v>
      </c>
      <c r="Y66" s="23">
        <v>245</v>
      </c>
      <c r="Z66" s="61"/>
      <c r="AA66" s="89">
        <v>180</v>
      </c>
      <c r="AB66" s="61"/>
      <c r="AC66" s="89">
        <v>180</v>
      </c>
      <c r="AD66" s="61"/>
      <c r="AE66" s="63">
        <v>200</v>
      </c>
      <c r="AF66" s="61"/>
      <c r="AG66" s="63">
        <v>200</v>
      </c>
      <c r="AH66" s="7"/>
      <c r="AI66" s="7"/>
      <c r="AJ66" s="7"/>
      <c r="AL66" s="61"/>
      <c r="AM66" s="63">
        <v>200</v>
      </c>
      <c r="AN66" s="61"/>
      <c r="AO66" s="63">
        <v>200</v>
      </c>
    </row>
    <row r="67" spans="1:43" x14ac:dyDescent="0.45">
      <c r="A67" s="1">
        <v>953</v>
      </c>
      <c r="B67" s="1" t="s">
        <v>63</v>
      </c>
      <c r="C67" s="96">
        <v>150</v>
      </c>
      <c r="D67" s="97">
        <v>254</v>
      </c>
      <c r="E67" s="98">
        <v>254</v>
      </c>
      <c r="F67" s="61"/>
      <c r="G67" s="147">
        <v>254</v>
      </c>
      <c r="H67" s="148">
        <v>254</v>
      </c>
      <c r="I67" s="149">
        <v>254</v>
      </c>
      <c r="J67" s="61"/>
      <c r="K67" s="24">
        <v>235</v>
      </c>
      <c r="L67" s="8">
        <v>235</v>
      </c>
      <c r="M67" s="25">
        <v>235</v>
      </c>
      <c r="N67" s="61"/>
      <c r="O67" s="24">
        <v>235</v>
      </c>
      <c r="P67" s="8">
        <v>235</v>
      </c>
      <c r="Q67" s="25">
        <v>235</v>
      </c>
      <c r="R67" s="61"/>
      <c r="S67" s="24">
        <v>235</v>
      </c>
      <c r="T67" s="8">
        <v>235</v>
      </c>
      <c r="U67" s="25">
        <v>235</v>
      </c>
      <c r="V67" s="61"/>
      <c r="W67" s="24">
        <v>235</v>
      </c>
      <c r="X67" s="8">
        <v>235</v>
      </c>
      <c r="Y67" s="25">
        <v>235</v>
      </c>
      <c r="Z67" s="61"/>
      <c r="AA67" s="89">
        <v>180</v>
      </c>
      <c r="AB67" s="61"/>
      <c r="AC67" s="89">
        <v>180</v>
      </c>
      <c r="AD67" s="61"/>
      <c r="AE67" s="63">
        <v>200</v>
      </c>
      <c r="AF67" s="61"/>
      <c r="AG67" s="63">
        <v>200</v>
      </c>
      <c r="AH67" s="8"/>
      <c r="AI67" s="8"/>
      <c r="AJ67" s="8"/>
      <c r="AL67" s="61"/>
      <c r="AM67" s="63">
        <v>200</v>
      </c>
      <c r="AN67" s="61"/>
      <c r="AO67" s="63">
        <v>200</v>
      </c>
    </row>
    <row r="68" spans="1:43" x14ac:dyDescent="0.45">
      <c r="A68" s="1">
        <v>954</v>
      </c>
      <c r="B68" s="1" t="s">
        <v>64</v>
      </c>
      <c r="C68" s="96">
        <v>150</v>
      </c>
      <c r="D68" s="97">
        <v>254</v>
      </c>
      <c r="E68" s="98">
        <v>254</v>
      </c>
      <c r="F68" s="61"/>
      <c r="G68" s="147">
        <v>254</v>
      </c>
      <c r="H68" s="148">
        <v>254</v>
      </c>
      <c r="I68" s="149">
        <v>254</v>
      </c>
      <c r="J68" s="61"/>
      <c r="K68" s="24">
        <v>235</v>
      </c>
      <c r="L68" s="8">
        <v>235</v>
      </c>
      <c r="M68" s="25">
        <v>235</v>
      </c>
      <c r="N68" s="61"/>
      <c r="O68" s="24">
        <v>235</v>
      </c>
      <c r="P68" s="8">
        <v>235</v>
      </c>
      <c r="Q68" s="25">
        <v>235</v>
      </c>
      <c r="R68" s="61"/>
      <c r="S68" s="24">
        <v>235</v>
      </c>
      <c r="T68" s="8">
        <v>235</v>
      </c>
      <c r="U68" s="25">
        <v>235</v>
      </c>
      <c r="V68" s="61"/>
      <c r="W68" s="24">
        <v>235</v>
      </c>
      <c r="X68" s="8">
        <v>235</v>
      </c>
      <c r="Y68" s="25">
        <v>235</v>
      </c>
      <c r="Z68" s="61"/>
      <c r="AA68" s="89">
        <v>180</v>
      </c>
      <c r="AB68" s="61"/>
      <c r="AC68" s="89">
        <v>180</v>
      </c>
      <c r="AD68" s="61"/>
      <c r="AE68" s="63">
        <v>200</v>
      </c>
      <c r="AF68" s="61"/>
      <c r="AG68" s="63">
        <v>200</v>
      </c>
      <c r="AH68" s="8"/>
      <c r="AI68" s="8"/>
      <c r="AJ68" s="8"/>
      <c r="AL68" s="61"/>
      <c r="AM68" s="63">
        <v>200</v>
      </c>
      <c r="AN68" s="61"/>
      <c r="AO68" s="63">
        <v>200</v>
      </c>
    </row>
    <row r="69" spans="1:43" x14ac:dyDescent="0.45">
      <c r="A69" s="1">
        <v>955</v>
      </c>
      <c r="B69" s="1" t="s">
        <v>65</v>
      </c>
      <c r="C69" s="96">
        <v>150</v>
      </c>
      <c r="D69" s="97">
        <v>254</v>
      </c>
      <c r="E69" s="98">
        <v>254</v>
      </c>
      <c r="F69" s="61"/>
      <c r="G69" s="147">
        <v>254</v>
      </c>
      <c r="H69" s="148">
        <v>254</v>
      </c>
      <c r="I69" s="149">
        <v>254</v>
      </c>
      <c r="J69" s="61"/>
      <c r="K69" s="22">
        <v>245</v>
      </c>
      <c r="L69" s="7">
        <v>245</v>
      </c>
      <c r="M69" s="23">
        <v>245</v>
      </c>
      <c r="N69" s="61"/>
      <c r="O69" s="22">
        <v>245</v>
      </c>
      <c r="P69" s="7">
        <v>245</v>
      </c>
      <c r="Q69" s="23">
        <v>245</v>
      </c>
      <c r="R69" s="61"/>
      <c r="S69" s="22">
        <v>245</v>
      </c>
      <c r="T69" s="7">
        <v>245</v>
      </c>
      <c r="U69" s="23">
        <v>245</v>
      </c>
      <c r="V69" s="61"/>
      <c r="W69" s="22">
        <v>245</v>
      </c>
      <c r="X69" s="7">
        <v>245</v>
      </c>
      <c r="Y69" s="23">
        <v>245</v>
      </c>
      <c r="Z69" s="61"/>
      <c r="AA69" s="89">
        <v>180</v>
      </c>
      <c r="AB69" s="61"/>
      <c r="AC69" s="89">
        <v>180</v>
      </c>
      <c r="AD69" s="61"/>
      <c r="AE69" s="63">
        <v>200</v>
      </c>
      <c r="AF69" s="61"/>
      <c r="AG69" s="63">
        <v>200</v>
      </c>
      <c r="AH69" s="7"/>
      <c r="AI69" s="7"/>
      <c r="AJ69" s="7"/>
      <c r="AL69" s="61"/>
      <c r="AM69" s="63">
        <v>200</v>
      </c>
      <c r="AN69" s="61"/>
      <c r="AO69" s="63">
        <v>200</v>
      </c>
    </row>
    <row r="70" spans="1:43" x14ac:dyDescent="0.45">
      <c r="A70" s="1">
        <v>956</v>
      </c>
      <c r="B70" s="1" t="s">
        <v>66</v>
      </c>
      <c r="C70" s="96">
        <v>150</v>
      </c>
      <c r="D70" s="97">
        <v>254</v>
      </c>
      <c r="E70" s="98">
        <v>254</v>
      </c>
      <c r="F70" s="61"/>
      <c r="G70" s="147">
        <v>254</v>
      </c>
      <c r="H70" s="148">
        <v>254</v>
      </c>
      <c r="I70" s="149">
        <v>254</v>
      </c>
      <c r="J70" s="61"/>
      <c r="K70" s="20">
        <v>225</v>
      </c>
      <c r="L70" s="6">
        <v>225</v>
      </c>
      <c r="M70" s="21">
        <v>225</v>
      </c>
      <c r="N70" s="61"/>
      <c r="O70" s="20">
        <v>225</v>
      </c>
      <c r="P70" s="6">
        <v>225</v>
      </c>
      <c r="Q70" s="21">
        <v>225</v>
      </c>
      <c r="R70" s="61"/>
      <c r="S70" s="20">
        <v>225</v>
      </c>
      <c r="T70" s="6">
        <v>225</v>
      </c>
      <c r="U70" s="21">
        <v>225</v>
      </c>
      <c r="V70" s="61"/>
      <c r="W70" s="20">
        <v>225</v>
      </c>
      <c r="X70" s="6">
        <v>225</v>
      </c>
      <c r="Y70" s="21">
        <v>225</v>
      </c>
      <c r="Z70" s="61"/>
      <c r="AA70" s="89">
        <v>180</v>
      </c>
      <c r="AB70" s="61"/>
      <c r="AC70" s="89">
        <v>180</v>
      </c>
      <c r="AD70" s="61"/>
      <c r="AE70" s="63">
        <v>200</v>
      </c>
      <c r="AF70" s="61"/>
      <c r="AG70" s="63">
        <v>200</v>
      </c>
      <c r="AH70" s="6"/>
      <c r="AI70" s="6"/>
      <c r="AJ70" s="6"/>
      <c r="AL70" s="61"/>
      <c r="AM70" s="63">
        <v>200</v>
      </c>
      <c r="AN70" s="61"/>
      <c r="AO70" s="63">
        <v>200</v>
      </c>
    </row>
    <row r="71" spans="1:43" x14ac:dyDescent="0.45">
      <c r="A71" s="1">
        <v>957</v>
      </c>
      <c r="B71" s="1" t="s">
        <v>67</v>
      </c>
      <c r="C71" s="80">
        <v>250</v>
      </c>
      <c r="D71" s="81">
        <v>150</v>
      </c>
      <c r="E71" s="82">
        <v>250</v>
      </c>
      <c r="F71" s="61"/>
      <c r="G71" s="102">
        <v>254</v>
      </c>
      <c r="H71" s="103">
        <v>150</v>
      </c>
      <c r="I71" s="104">
        <v>150</v>
      </c>
      <c r="J71" s="61"/>
      <c r="K71" s="80">
        <v>250</v>
      </c>
      <c r="L71" s="81">
        <v>150</v>
      </c>
      <c r="M71" s="82">
        <v>250</v>
      </c>
      <c r="N71" s="61"/>
      <c r="O71" s="102">
        <v>254</v>
      </c>
      <c r="P71" s="103">
        <v>150</v>
      </c>
      <c r="Q71" s="104">
        <v>150</v>
      </c>
      <c r="R71" s="61"/>
      <c r="S71" s="102">
        <v>254</v>
      </c>
      <c r="T71" s="103">
        <v>150</v>
      </c>
      <c r="U71" s="104">
        <v>150</v>
      </c>
      <c r="V71" s="61"/>
      <c r="W71" s="102">
        <v>254</v>
      </c>
      <c r="X71" s="103">
        <v>150</v>
      </c>
      <c r="Y71" s="104">
        <v>150</v>
      </c>
      <c r="Z71" s="61"/>
      <c r="AA71" s="89">
        <v>180</v>
      </c>
      <c r="AB71" s="61"/>
      <c r="AC71" s="89">
        <v>180</v>
      </c>
      <c r="AD71" s="61"/>
      <c r="AE71" s="63">
        <v>200</v>
      </c>
      <c r="AF71" s="61"/>
      <c r="AG71" s="63">
        <v>200</v>
      </c>
      <c r="AH71" s="4"/>
      <c r="AI71" s="4"/>
      <c r="AJ71" s="4"/>
      <c r="AL71" s="61"/>
      <c r="AM71" s="63">
        <v>200</v>
      </c>
      <c r="AN71" s="61"/>
      <c r="AO71" s="63">
        <v>200</v>
      </c>
    </row>
    <row r="72" spans="1:43" x14ac:dyDescent="0.45">
      <c r="A72" s="1">
        <v>958</v>
      </c>
      <c r="B72" s="1" t="s">
        <v>68</v>
      </c>
      <c r="C72" s="80">
        <v>250</v>
      </c>
      <c r="D72" s="81">
        <v>150</v>
      </c>
      <c r="E72" s="82">
        <v>250</v>
      </c>
      <c r="F72" s="61"/>
      <c r="G72" s="102">
        <v>254</v>
      </c>
      <c r="H72" s="103">
        <v>150</v>
      </c>
      <c r="I72" s="104">
        <v>150</v>
      </c>
      <c r="J72" s="61"/>
      <c r="K72" s="80">
        <v>250</v>
      </c>
      <c r="L72" s="81">
        <v>150</v>
      </c>
      <c r="M72" s="82">
        <v>250</v>
      </c>
      <c r="N72" s="61"/>
      <c r="O72" s="102">
        <v>254</v>
      </c>
      <c r="P72" s="103">
        <v>150</v>
      </c>
      <c r="Q72" s="104">
        <v>150</v>
      </c>
      <c r="R72" s="61"/>
      <c r="S72" s="102">
        <v>254</v>
      </c>
      <c r="T72" s="103">
        <v>150</v>
      </c>
      <c r="U72" s="104">
        <v>150</v>
      </c>
      <c r="V72" s="61"/>
      <c r="W72" s="102">
        <v>254</v>
      </c>
      <c r="X72" s="103">
        <v>150</v>
      </c>
      <c r="Y72" s="104">
        <v>150</v>
      </c>
      <c r="Z72" s="61"/>
      <c r="AA72" s="89">
        <v>180</v>
      </c>
      <c r="AB72" s="61"/>
      <c r="AC72" s="89">
        <v>180</v>
      </c>
      <c r="AD72" s="61"/>
      <c r="AE72" s="63">
        <v>200</v>
      </c>
      <c r="AF72" s="61"/>
      <c r="AG72" s="63">
        <v>200</v>
      </c>
      <c r="AH72" s="58"/>
      <c r="AI72" s="58"/>
      <c r="AJ72" s="58"/>
      <c r="AL72" s="61"/>
      <c r="AM72" s="63">
        <v>200</v>
      </c>
      <c r="AN72" s="61"/>
      <c r="AO72" s="63">
        <v>200</v>
      </c>
    </row>
    <row r="73" spans="1:43" x14ac:dyDescent="0.45">
      <c r="A73" s="1">
        <v>959</v>
      </c>
      <c r="B73" s="1" t="s">
        <v>69</v>
      </c>
      <c r="C73" s="80">
        <v>250</v>
      </c>
      <c r="D73" s="81">
        <v>150</v>
      </c>
      <c r="E73" s="82">
        <v>250</v>
      </c>
      <c r="F73" s="61"/>
      <c r="G73" s="102">
        <v>254</v>
      </c>
      <c r="H73" s="103">
        <v>150</v>
      </c>
      <c r="I73" s="104">
        <v>150</v>
      </c>
      <c r="J73" s="61"/>
      <c r="K73" s="80">
        <v>250</v>
      </c>
      <c r="L73" s="81">
        <v>150</v>
      </c>
      <c r="M73" s="82">
        <v>250</v>
      </c>
      <c r="N73" s="61"/>
      <c r="O73" s="102">
        <v>254</v>
      </c>
      <c r="P73" s="103">
        <v>150</v>
      </c>
      <c r="Q73" s="104">
        <v>150</v>
      </c>
      <c r="R73" s="61"/>
      <c r="S73" s="102">
        <v>254</v>
      </c>
      <c r="T73" s="103">
        <v>150</v>
      </c>
      <c r="U73" s="104">
        <v>150</v>
      </c>
      <c r="V73" s="61"/>
      <c r="W73" s="102">
        <v>254</v>
      </c>
      <c r="X73" s="103">
        <v>150</v>
      </c>
      <c r="Y73" s="104">
        <v>150</v>
      </c>
      <c r="Z73" s="61"/>
      <c r="AA73" s="89">
        <v>180</v>
      </c>
      <c r="AB73" s="61"/>
      <c r="AC73" s="89">
        <v>180</v>
      </c>
      <c r="AD73" s="61"/>
      <c r="AE73" s="63">
        <v>200</v>
      </c>
      <c r="AF73" s="61"/>
      <c r="AG73" s="63">
        <v>200</v>
      </c>
      <c r="AH73" s="59"/>
      <c r="AI73" s="59"/>
      <c r="AJ73" s="59"/>
      <c r="AL73" s="61"/>
      <c r="AM73" s="63">
        <v>200</v>
      </c>
      <c r="AN73" s="61"/>
      <c r="AO73" s="63">
        <v>200</v>
      </c>
    </row>
    <row r="74" spans="1:43" x14ac:dyDescent="0.45">
      <c r="A74" s="1">
        <v>960</v>
      </c>
      <c r="B74" s="1" t="s">
        <v>70</v>
      </c>
      <c r="C74" s="80">
        <v>250</v>
      </c>
      <c r="D74" s="81">
        <v>150</v>
      </c>
      <c r="E74" s="82">
        <v>250</v>
      </c>
      <c r="F74" s="61"/>
      <c r="G74" s="102">
        <v>254</v>
      </c>
      <c r="H74" s="103">
        <v>150</v>
      </c>
      <c r="I74" s="104">
        <v>150</v>
      </c>
      <c r="J74" s="61"/>
      <c r="K74" s="80">
        <v>250</v>
      </c>
      <c r="L74" s="81">
        <v>150</v>
      </c>
      <c r="M74" s="82">
        <v>250</v>
      </c>
      <c r="N74" s="61"/>
      <c r="O74" s="102">
        <v>254</v>
      </c>
      <c r="P74" s="103">
        <v>150</v>
      </c>
      <c r="Q74" s="104">
        <v>150</v>
      </c>
      <c r="R74" s="61"/>
      <c r="S74" s="102">
        <v>254</v>
      </c>
      <c r="T74" s="103">
        <v>150</v>
      </c>
      <c r="U74" s="104">
        <v>150</v>
      </c>
      <c r="V74" s="61"/>
      <c r="W74" s="102">
        <v>254</v>
      </c>
      <c r="X74" s="103">
        <v>150</v>
      </c>
      <c r="Y74" s="104">
        <v>150</v>
      </c>
      <c r="Z74" s="61"/>
      <c r="AA74" s="89">
        <v>180</v>
      </c>
      <c r="AB74" s="61"/>
      <c r="AC74" s="89">
        <v>180</v>
      </c>
      <c r="AD74" s="61"/>
      <c r="AE74" s="63">
        <v>200</v>
      </c>
      <c r="AF74" s="61"/>
      <c r="AG74" s="63">
        <v>200</v>
      </c>
      <c r="AH74" s="52"/>
      <c r="AI74" s="52"/>
      <c r="AJ74" s="52"/>
      <c r="AL74" s="61"/>
      <c r="AM74" s="63">
        <v>200</v>
      </c>
      <c r="AN74" s="61"/>
      <c r="AO74" s="63">
        <v>200</v>
      </c>
    </row>
    <row r="75" spans="1:43" x14ac:dyDescent="0.45">
      <c r="A75" s="1">
        <v>961</v>
      </c>
      <c r="B75" s="1" t="s">
        <v>71</v>
      </c>
      <c r="C75" s="80">
        <v>250</v>
      </c>
      <c r="D75" s="81">
        <v>150</v>
      </c>
      <c r="E75" s="82">
        <v>250</v>
      </c>
      <c r="F75" s="61"/>
      <c r="G75" s="102">
        <v>254</v>
      </c>
      <c r="H75" s="103">
        <v>150</v>
      </c>
      <c r="I75" s="104">
        <v>150</v>
      </c>
      <c r="J75" s="61"/>
      <c r="K75" s="80">
        <v>250</v>
      </c>
      <c r="L75" s="81">
        <v>150</v>
      </c>
      <c r="M75" s="82">
        <v>250</v>
      </c>
      <c r="N75" s="61"/>
      <c r="O75" s="102">
        <v>254</v>
      </c>
      <c r="P75" s="103">
        <v>150</v>
      </c>
      <c r="Q75" s="104">
        <v>150</v>
      </c>
      <c r="R75" s="61"/>
      <c r="S75" s="102">
        <v>254</v>
      </c>
      <c r="T75" s="103">
        <v>150</v>
      </c>
      <c r="U75" s="104">
        <v>150</v>
      </c>
      <c r="V75" s="61"/>
      <c r="W75" s="102">
        <v>254</v>
      </c>
      <c r="X75" s="103">
        <v>150</v>
      </c>
      <c r="Y75" s="104">
        <v>150</v>
      </c>
      <c r="Z75" s="61"/>
      <c r="AA75" s="89">
        <v>180</v>
      </c>
      <c r="AB75" s="61"/>
      <c r="AC75" s="89">
        <v>180</v>
      </c>
      <c r="AD75" s="61"/>
      <c r="AE75" s="63">
        <v>200</v>
      </c>
      <c r="AF75" s="61"/>
      <c r="AG75" s="63">
        <v>200</v>
      </c>
      <c r="AL75" s="61"/>
      <c r="AM75" s="63">
        <v>200</v>
      </c>
      <c r="AN75" s="61"/>
      <c r="AO75" s="63">
        <v>200</v>
      </c>
    </row>
    <row r="76" spans="1:43" x14ac:dyDescent="0.45">
      <c r="A76" s="1">
        <v>962</v>
      </c>
      <c r="B76" s="1" t="s">
        <v>56</v>
      </c>
      <c r="C76" s="80">
        <v>250</v>
      </c>
      <c r="D76" s="81">
        <v>150</v>
      </c>
      <c r="E76" s="82">
        <v>250</v>
      </c>
      <c r="F76" s="61"/>
      <c r="G76" s="102">
        <v>254</v>
      </c>
      <c r="H76" s="103">
        <v>150</v>
      </c>
      <c r="I76" s="104">
        <v>150</v>
      </c>
      <c r="J76" s="61"/>
      <c r="K76" s="80">
        <v>250</v>
      </c>
      <c r="L76" s="81">
        <v>150</v>
      </c>
      <c r="M76" s="82">
        <v>250</v>
      </c>
      <c r="N76" s="61"/>
      <c r="O76" s="102">
        <v>254</v>
      </c>
      <c r="P76" s="103">
        <v>150</v>
      </c>
      <c r="Q76" s="104">
        <v>150</v>
      </c>
      <c r="R76" s="61"/>
      <c r="S76" s="102">
        <v>254</v>
      </c>
      <c r="T76" s="103">
        <v>150</v>
      </c>
      <c r="U76" s="104">
        <v>150</v>
      </c>
      <c r="V76" s="61"/>
      <c r="W76" s="102">
        <v>254</v>
      </c>
      <c r="X76" s="103">
        <v>150</v>
      </c>
      <c r="Y76" s="104">
        <v>150</v>
      </c>
      <c r="Z76" s="61"/>
      <c r="AA76" s="89">
        <v>180</v>
      </c>
      <c r="AB76" s="61"/>
      <c r="AC76" s="89">
        <v>180</v>
      </c>
      <c r="AD76" s="61"/>
      <c r="AE76" s="63">
        <v>200</v>
      </c>
      <c r="AF76" s="61"/>
      <c r="AG76" s="63">
        <v>200</v>
      </c>
      <c r="AH76" s="52"/>
      <c r="AI76" s="52"/>
      <c r="AJ76" s="52"/>
      <c r="AL76" s="61"/>
      <c r="AM76" s="63">
        <v>200</v>
      </c>
      <c r="AN76" s="61"/>
      <c r="AO76" s="63">
        <v>200</v>
      </c>
    </row>
    <row r="77" spans="1:43" x14ac:dyDescent="0.45">
      <c r="A77" s="1">
        <v>0</v>
      </c>
      <c r="B77" s="1" t="s">
        <v>91</v>
      </c>
      <c r="C77" s="90">
        <v>0</v>
      </c>
      <c r="D77" s="45">
        <v>0</v>
      </c>
      <c r="E77" s="91">
        <v>0</v>
      </c>
      <c r="F77" s="61"/>
      <c r="G77" s="90">
        <v>0</v>
      </c>
      <c r="H77" s="45">
        <v>0</v>
      </c>
      <c r="I77" s="91">
        <v>0</v>
      </c>
      <c r="J77" s="61"/>
      <c r="K77" s="90">
        <v>0</v>
      </c>
      <c r="L77" s="45">
        <v>0</v>
      </c>
      <c r="M77" s="91">
        <v>0</v>
      </c>
      <c r="N77" s="61"/>
      <c r="O77" s="90">
        <v>0</v>
      </c>
      <c r="P77" s="45">
        <v>0</v>
      </c>
      <c r="Q77" s="91">
        <v>0</v>
      </c>
      <c r="R77" s="61"/>
      <c r="S77" s="90">
        <v>0</v>
      </c>
      <c r="T77" s="45">
        <v>0</v>
      </c>
      <c r="U77" s="91">
        <v>0</v>
      </c>
      <c r="V77" s="61"/>
      <c r="W77" s="90">
        <v>0</v>
      </c>
      <c r="X77" s="45">
        <v>0</v>
      </c>
      <c r="Y77" s="91">
        <v>0</v>
      </c>
      <c r="Z77" s="61"/>
      <c r="AA77" s="92">
        <v>0</v>
      </c>
      <c r="AB77" s="61"/>
      <c r="AC77" s="92">
        <v>0</v>
      </c>
      <c r="AD77" s="61"/>
      <c r="AE77" s="92">
        <v>0</v>
      </c>
      <c r="AF77" s="61"/>
      <c r="AG77" s="92">
        <v>0</v>
      </c>
      <c r="AH77" s="52"/>
      <c r="AI77" s="52"/>
      <c r="AJ77" s="52"/>
      <c r="AL77" s="61"/>
      <c r="AM77" s="92">
        <v>0</v>
      </c>
      <c r="AN77" s="61"/>
      <c r="AO77" s="92">
        <v>0</v>
      </c>
    </row>
    <row r="78" spans="1:43" x14ac:dyDescent="0.45">
      <c r="A78" s="1">
        <v>36</v>
      </c>
      <c r="B78" s="1" t="s">
        <v>97</v>
      </c>
      <c r="C78" s="190">
        <v>40</v>
      </c>
      <c r="D78" s="49">
        <v>40</v>
      </c>
      <c r="E78" s="191">
        <v>40</v>
      </c>
      <c r="F78" s="61"/>
      <c r="G78" s="190">
        <v>40</v>
      </c>
      <c r="H78" s="49">
        <v>40</v>
      </c>
      <c r="I78" s="191">
        <v>40</v>
      </c>
      <c r="J78" s="61"/>
      <c r="K78" s="170">
        <v>100</v>
      </c>
      <c r="L78" s="171">
        <v>70</v>
      </c>
      <c r="M78" s="172">
        <v>30</v>
      </c>
      <c r="N78" s="61"/>
      <c r="O78" s="168">
        <v>100</v>
      </c>
      <c r="P78" s="58">
        <v>100</v>
      </c>
      <c r="Q78" s="169">
        <v>100</v>
      </c>
      <c r="R78" s="61"/>
      <c r="S78" s="168">
        <v>100</v>
      </c>
      <c r="T78" s="58">
        <v>100</v>
      </c>
      <c r="U78" s="169">
        <v>100</v>
      </c>
      <c r="V78" s="61"/>
      <c r="W78" s="192">
        <v>25</v>
      </c>
      <c r="X78" s="193">
        <v>25</v>
      </c>
      <c r="Y78" s="194">
        <v>25</v>
      </c>
      <c r="Z78" s="61"/>
      <c r="AA78" s="89">
        <v>180</v>
      </c>
      <c r="AB78" s="61"/>
      <c r="AC78" s="89">
        <v>180</v>
      </c>
      <c r="AD78" s="61"/>
      <c r="AE78" s="63">
        <v>200</v>
      </c>
      <c r="AF78" s="61"/>
      <c r="AG78" s="63">
        <v>200</v>
      </c>
      <c r="AL78" s="61"/>
      <c r="AM78" s="63">
        <v>200</v>
      </c>
      <c r="AN78" s="61"/>
      <c r="AO78" s="63">
        <v>200</v>
      </c>
      <c r="AQ78" s="1">
        <v>30</v>
      </c>
    </row>
    <row r="79" spans="1:43" x14ac:dyDescent="0.45">
      <c r="A79" s="1">
        <f>A78+1000</f>
        <v>1036</v>
      </c>
      <c r="B79" s="1" t="s">
        <v>91</v>
      </c>
      <c r="C79" s="190">
        <f>C78</f>
        <v>40</v>
      </c>
      <c r="D79" s="49">
        <f>D78</f>
        <v>40</v>
      </c>
      <c r="E79" s="191">
        <f>E78</f>
        <v>40</v>
      </c>
      <c r="F79" s="61"/>
      <c r="G79" s="190">
        <f>G78</f>
        <v>40</v>
      </c>
      <c r="H79" s="49">
        <f>H78</f>
        <v>40</v>
      </c>
      <c r="I79" s="191">
        <f>I78</f>
        <v>40</v>
      </c>
      <c r="J79" s="61"/>
      <c r="K79" s="170">
        <f>K78</f>
        <v>100</v>
      </c>
      <c r="L79" s="171">
        <f>L78</f>
        <v>70</v>
      </c>
      <c r="M79" s="172">
        <f>M78</f>
        <v>30</v>
      </c>
      <c r="N79" s="61"/>
      <c r="O79" s="168">
        <f>O78</f>
        <v>100</v>
      </c>
      <c r="P79" s="58">
        <f>P78</f>
        <v>100</v>
      </c>
      <c r="Q79" s="169">
        <f>Q78</f>
        <v>100</v>
      </c>
      <c r="R79" s="61"/>
      <c r="S79" s="168">
        <f>S78</f>
        <v>100</v>
      </c>
      <c r="T79" s="58">
        <f>T78</f>
        <v>100</v>
      </c>
      <c r="U79" s="169">
        <f>U78</f>
        <v>100</v>
      </c>
      <c r="V79" s="61"/>
      <c r="W79" s="192">
        <f>W78</f>
        <v>25</v>
      </c>
      <c r="X79" s="193">
        <f>X78</f>
        <v>25</v>
      </c>
      <c r="Y79" s="194">
        <f>Y78</f>
        <v>25</v>
      </c>
      <c r="Z79" s="61"/>
      <c r="AA79" s="89">
        <f>AA78</f>
        <v>180</v>
      </c>
      <c r="AB79" s="61"/>
      <c r="AC79" s="89">
        <f>AC78</f>
        <v>180</v>
      </c>
      <c r="AD79" s="61"/>
      <c r="AE79" s="63">
        <f>AE78</f>
        <v>200</v>
      </c>
      <c r="AF79" s="61"/>
      <c r="AG79" s="63">
        <f>AG78</f>
        <v>200</v>
      </c>
      <c r="AH79" s="52"/>
      <c r="AI79" s="52"/>
      <c r="AJ79" s="52"/>
      <c r="AL79" s="61"/>
      <c r="AM79" s="63">
        <f>AM78</f>
        <v>200</v>
      </c>
      <c r="AN79" s="61"/>
      <c r="AO79" s="63">
        <f>AO78</f>
        <v>200</v>
      </c>
      <c r="AQ79" s="1">
        <v>30</v>
      </c>
    </row>
    <row r="80" spans="1:43" x14ac:dyDescent="0.45">
      <c r="A80" s="1">
        <f>A78+1</f>
        <v>37</v>
      </c>
      <c r="B80" s="1" t="s">
        <v>96</v>
      </c>
      <c r="C80" s="168">
        <v>100</v>
      </c>
      <c r="D80" s="58">
        <v>100</v>
      </c>
      <c r="E80" s="169">
        <v>100</v>
      </c>
      <c r="F80" s="61"/>
      <c r="G80" s="168">
        <v>100</v>
      </c>
      <c r="H80" s="58">
        <v>100</v>
      </c>
      <c r="I80" s="169">
        <v>100</v>
      </c>
      <c r="J80" s="61"/>
      <c r="K80" s="168">
        <v>100</v>
      </c>
      <c r="L80" s="58">
        <v>100</v>
      </c>
      <c r="M80" s="169">
        <v>100</v>
      </c>
      <c r="N80" s="61"/>
      <c r="O80" s="168">
        <v>100</v>
      </c>
      <c r="P80" s="58">
        <v>100</v>
      </c>
      <c r="Q80" s="169">
        <v>100</v>
      </c>
      <c r="R80" s="61"/>
      <c r="S80" s="168">
        <v>100</v>
      </c>
      <c r="T80" s="58">
        <v>100</v>
      </c>
      <c r="U80" s="169">
        <v>100</v>
      </c>
      <c r="V80" s="61"/>
      <c r="W80" s="176">
        <v>150</v>
      </c>
      <c r="X80" s="177">
        <v>100</v>
      </c>
      <c r="Y80" s="178">
        <v>50</v>
      </c>
      <c r="Z80" s="61"/>
      <c r="AA80" s="89">
        <v>180</v>
      </c>
      <c r="AB80" s="61"/>
      <c r="AC80" s="89">
        <v>180</v>
      </c>
      <c r="AD80" s="61"/>
      <c r="AE80" s="63">
        <v>200</v>
      </c>
      <c r="AF80" s="61"/>
      <c r="AG80" s="63">
        <v>200</v>
      </c>
      <c r="AL80" s="61"/>
      <c r="AM80" s="63">
        <v>200</v>
      </c>
      <c r="AN80" s="61"/>
      <c r="AO80" s="63">
        <v>200</v>
      </c>
      <c r="AQ80" s="1">
        <v>30</v>
      </c>
    </row>
    <row r="81" spans="1:43" x14ac:dyDescent="0.45">
      <c r="A81" s="1">
        <f>A80+1000</f>
        <v>1037</v>
      </c>
      <c r="B81" s="1" t="s">
        <v>91</v>
      </c>
      <c r="C81" s="207">
        <v>130</v>
      </c>
      <c r="D81" s="208">
        <v>130</v>
      </c>
      <c r="E81" s="209">
        <v>130</v>
      </c>
      <c r="F81" s="61"/>
      <c r="G81" s="207">
        <v>130</v>
      </c>
      <c r="H81" s="208">
        <v>130</v>
      </c>
      <c r="I81" s="209">
        <v>130</v>
      </c>
      <c r="J81" s="61"/>
      <c r="K81" s="207">
        <v>130</v>
      </c>
      <c r="L81" s="208">
        <v>130</v>
      </c>
      <c r="M81" s="209">
        <v>130</v>
      </c>
      <c r="N81" s="61"/>
      <c r="O81" s="207">
        <v>130</v>
      </c>
      <c r="P81" s="208">
        <v>130</v>
      </c>
      <c r="Q81" s="209">
        <v>130</v>
      </c>
      <c r="R81" s="61"/>
      <c r="S81" s="207">
        <v>130</v>
      </c>
      <c r="T81" s="208">
        <v>130</v>
      </c>
      <c r="U81" s="209">
        <v>130</v>
      </c>
      <c r="V81" s="61"/>
      <c r="W81" s="176">
        <f>W80</f>
        <v>150</v>
      </c>
      <c r="X81" s="177">
        <f>X80</f>
        <v>100</v>
      </c>
      <c r="Y81" s="178">
        <f>Y80</f>
        <v>50</v>
      </c>
      <c r="Z81" s="61"/>
      <c r="AA81" s="89">
        <f>AA80</f>
        <v>180</v>
      </c>
      <c r="AB81" s="61"/>
      <c r="AC81" s="89">
        <f>AC80</f>
        <v>180</v>
      </c>
      <c r="AD81" s="61"/>
      <c r="AE81" s="63">
        <f>AE80</f>
        <v>200</v>
      </c>
      <c r="AF81" s="61"/>
      <c r="AG81" s="63">
        <f>AG80</f>
        <v>200</v>
      </c>
      <c r="AH81" s="52"/>
      <c r="AI81" s="52"/>
      <c r="AJ81" s="52"/>
      <c r="AL81" s="61"/>
      <c r="AM81" s="63">
        <f>AM80</f>
        <v>200</v>
      </c>
      <c r="AN81" s="61"/>
      <c r="AO81" s="63">
        <f>AO80</f>
        <v>200</v>
      </c>
      <c r="AQ81" s="1">
        <v>30</v>
      </c>
    </row>
    <row r="82" spans="1:43" x14ac:dyDescent="0.45">
      <c r="A82" s="1">
        <f>A80+1</f>
        <v>38</v>
      </c>
      <c r="B82" s="1" t="s">
        <v>95</v>
      </c>
      <c r="C82" s="173">
        <v>145</v>
      </c>
      <c r="D82" s="174">
        <v>145</v>
      </c>
      <c r="E82" s="175">
        <v>145</v>
      </c>
      <c r="F82" s="61"/>
      <c r="G82" s="173">
        <v>145</v>
      </c>
      <c r="H82" s="174">
        <v>145</v>
      </c>
      <c r="I82" s="175">
        <v>145</v>
      </c>
      <c r="J82" s="61"/>
      <c r="K82" s="173">
        <v>145</v>
      </c>
      <c r="L82" s="174">
        <v>145</v>
      </c>
      <c r="M82" s="175">
        <v>145</v>
      </c>
      <c r="N82" s="61"/>
      <c r="O82" s="173">
        <v>145</v>
      </c>
      <c r="P82" s="174">
        <v>145</v>
      </c>
      <c r="Q82" s="175">
        <v>145</v>
      </c>
      <c r="R82" s="61"/>
      <c r="S82" s="173">
        <v>145</v>
      </c>
      <c r="T82" s="174">
        <v>145</v>
      </c>
      <c r="U82" s="175">
        <v>145</v>
      </c>
      <c r="V82" s="61"/>
      <c r="W82" s="176">
        <v>150</v>
      </c>
      <c r="X82" s="177">
        <v>100</v>
      </c>
      <c r="Y82" s="178">
        <v>50</v>
      </c>
      <c r="Z82" s="61"/>
      <c r="AA82" s="89">
        <v>180</v>
      </c>
      <c r="AB82" s="61"/>
      <c r="AC82" s="89">
        <v>180</v>
      </c>
      <c r="AD82" s="61"/>
      <c r="AE82" s="63">
        <v>200</v>
      </c>
      <c r="AF82" s="61"/>
      <c r="AG82" s="63">
        <v>200</v>
      </c>
      <c r="AL82" s="61"/>
      <c r="AM82" s="63">
        <v>200</v>
      </c>
      <c r="AN82" s="61"/>
      <c r="AO82" s="63">
        <v>200</v>
      </c>
      <c r="AQ82" s="1">
        <v>30</v>
      </c>
    </row>
    <row r="83" spans="1:43" x14ac:dyDescent="0.45">
      <c r="A83" s="1">
        <f>A82+1000</f>
        <v>1038</v>
      </c>
      <c r="B83" s="1" t="s">
        <v>91</v>
      </c>
      <c r="C83" s="210">
        <v>170</v>
      </c>
      <c r="D83" s="211">
        <v>170</v>
      </c>
      <c r="E83" s="212">
        <v>170</v>
      </c>
      <c r="F83" s="61"/>
      <c r="G83" s="210">
        <v>170</v>
      </c>
      <c r="H83" s="211">
        <v>170</v>
      </c>
      <c r="I83" s="212">
        <v>170</v>
      </c>
      <c r="J83" s="61"/>
      <c r="K83" s="210">
        <v>170</v>
      </c>
      <c r="L83" s="211">
        <v>170</v>
      </c>
      <c r="M83" s="212">
        <v>170</v>
      </c>
      <c r="N83" s="61"/>
      <c r="O83" s="210">
        <v>170</v>
      </c>
      <c r="P83" s="211">
        <v>170</v>
      </c>
      <c r="Q83" s="212">
        <v>170</v>
      </c>
      <c r="R83" s="61"/>
      <c r="S83" s="213">
        <v>170</v>
      </c>
      <c r="T83" s="214">
        <v>170</v>
      </c>
      <c r="U83" s="215">
        <f>U82</f>
        <v>145</v>
      </c>
      <c r="V83" s="61"/>
      <c r="W83" s="176">
        <f>W82</f>
        <v>150</v>
      </c>
      <c r="X83" s="177">
        <f>X82</f>
        <v>100</v>
      </c>
      <c r="Y83" s="178">
        <f>Y82</f>
        <v>50</v>
      </c>
      <c r="Z83" s="61"/>
      <c r="AA83" s="89">
        <f>AA82</f>
        <v>180</v>
      </c>
      <c r="AB83" s="61"/>
      <c r="AC83" s="89">
        <f>AC82</f>
        <v>180</v>
      </c>
      <c r="AD83" s="61"/>
      <c r="AE83" s="63">
        <f>AE82</f>
        <v>200</v>
      </c>
      <c r="AF83" s="61"/>
      <c r="AG83" s="63">
        <f>AG82</f>
        <v>200</v>
      </c>
      <c r="AH83" s="52"/>
      <c r="AI83" s="52"/>
      <c r="AJ83" s="52"/>
      <c r="AL83" s="61"/>
      <c r="AM83" s="63">
        <f>AM82</f>
        <v>200</v>
      </c>
      <c r="AN83" s="61"/>
      <c r="AO83" s="63">
        <f>AO82</f>
        <v>200</v>
      </c>
      <c r="AQ83" s="1">
        <v>30</v>
      </c>
    </row>
    <row r="84" spans="1:43" x14ac:dyDescent="0.45">
      <c r="A84" s="1">
        <f>A82+1</f>
        <v>39</v>
      </c>
      <c r="B84" s="1" t="s">
        <v>94</v>
      </c>
      <c r="C84" s="147">
        <v>254</v>
      </c>
      <c r="D84" s="148">
        <v>254</v>
      </c>
      <c r="E84" s="149">
        <v>254</v>
      </c>
      <c r="F84" s="61"/>
      <c r="G84" s="147">
        <v>254</v>
      </c>
      <c r="H84" s="148">
        <v>254</v>
      </c>
      <c r="I84" s="149">
        <v>254</v>
      </c>
      <c r="J84" s="61"/>
      <c r="K84" s="147">
        <v>254</v>
      </c>
      <c r="L84" s="148">
        <v>254</v>
      </c>
      <c r="M84" s="149">
        <v>254</v>
      </c>
      <c r="N84" s="61"/>
      <c r="O84" s="20">
        <v>225</v>
      </c>
      <c r="P84" s="6">
        <v>225</v>
      </c>
      <c r="Q84" s="21">
        <v>225</v>
      </c>
      <c r="R84" s="61"/>
      <c r="S84" s="20">
        <v>225</v>
      </c>
      <c r="T84" s="6">
        <v>225</v>
      </c>
      <c r="U84" s="21">
        <v>225</v>
      </c>
      <c r="V84" s="61"/>
      <c r="W84" s="176">
        <v>150</v>
      </c>
      <c r="X84" s="177">
        <v>100</v>
      </c>
      <c r="Y84" s="178">
        <v>50</v>
      </c>
      <c r="Z84" s="61"/>
      <c r="AA84" s="89">
        <v>180</v>
      </c>
      <c r="AB84" s="61"/>
      <c r="AC84" s="89">
        <v>180</v>
      </c>
      <c r="AD84" s="61"/>
      <c r="AE84" s="63">
        <v>200</v>
      </c>
      <c r="AF84" s="61"/>
      <c r="AG84" s="63">
        <v>200</v>
      </c>
      <c r="AL84" s="61"/>
      <c r="AM84" s="63">
        <v>200</v>
      </c>
      <c r="AN84" s="61"/>
      <c r="AO84" s="63">
        <v>200</v>
      </c>
      <c r="AQ84" s="1">
        <v>30</v>
      </c>
    </row>
    <row r="85" spans="1:43" x14ac:dyDescent="0.45">
      <c r="A85" s="1">
        <f>A84+1000</f>
        <v>1039</v>
      </c>
      <c r="B85" s="1" t="s">
        <v>91</v>
      </c>
      <c r="C85" s="147">
        <f>C84</f>
        <v>254</v>
      </c>
      <c r="D85" s="148">
        <f>D84</f>
        <v>254</v>
      </c>
      <c r="E85" s="149">
        <f>E84</f>
        <v>254</v>
      </c>
      <c r="F85" s="61"/>
      <c r="G85" s="147">
        <f>G84</f>
        <v>254</v>
      </c>
      <c r="H85" s="148">
        <f>H84</f>
        <v>254</v>
      </c>
      <c r="I85" s="149">
        <f>I84</f>
        <v>254</v>
      </c>
      <c r="J85" s="61"/>
      <c r="K85" s="147">
        <f>K84</f>
        <v>254</v>
      </c>
      <c r="L85" s="148">
        <f>L84</f>
        <v>254</v>
      </c>
      <c r="M85" s="149">
        <f>M84</f>
        <v>254</v>
      </c>
      <c r="N85" s="61"/>
      <c r="O85" s="20">
        <f>O84</f>
        <v>225</v>
      </c>
      <c r="P85" s="6">
        <f>P84</f>
        <v>225</v>
      </c>
      <c r="Q85" s="21">
        <f>Q84</f>
        <v>225</v>
      </c>
      <c r="R85" s="61"/>
      <c r="S85" s="20">
        <f>S84</f>
        <v>225</v>
      </c>
      <c r="T85" s="6">
        <f>T84</f>
        <v>225</v>
      </c>
      <c r="U85" s="21">
        <f>U84</f>
        <v>225</v>
      </c>
      <c r="V85" s="61"/>
      <c r="W85" s="176">
        <f>W84</f>
        <v>150</v>
      </c>
      <c r="X85" s="177">
        <f>X84</f>
        <v>100</v>
      </c>
      <c r="Y85" s="178">
        <f>Y84</f>
        <v>50</v>
      </c>
      <c r="Z85" s="61"/>
      <c r="AA85" s="89">
        <f>AA84</f>
        <v>180</v>
      </c>
      <c r="AB85" s="61"/>
      <c r="AC85" s="89">
        <f>AC84</f>
        <v>180</v>
      </c>
      <c r="AD85" s="61"/>
      <c r="AE85" s="63">
        <f>AE84</f>
        <v>200</v>
      </c>
      <c r="AF85" s="61"/>
      <c r="AG85" s="63">
        <f>AG84</f>
        <v>200</v>
      </c>
      <c r="AH85" s="52"/>
      <c r="AI85" s="52"/>
      <c r="AJ85" s="52"/>
      <c r="AL85" s="61"/>
      <c r="AM85" s="63">
        <f>AM84</f>
        <v>200</v>
      </c>
      <c r="AN85" s="61"/>
      <c r="AO85" s="63">
        <f>AO84</f>
        <v>200</v>
      </c>
      <c r="AQ85" s="1">
        <v>30</v>
      </c>
    </row>
    <row r="86" spans="1:43" x14ac:dyDescent="0.45">
      <c r="A86" s="1">
        <f>A84+1</f>
        <v>40</v>
      </c>
      <c r="B86" s="1" t="s">
        <v>85</v>
      </c>
      <c r="C86" s="181">
        <v>153</v>
      </c>
      <c r="D86" s="182">
        <v>60</v>
      </c>
      <c r="E86" s="183">
        <v>60</v>
      </c>
      <c r="F86" s="61"/>
      <c r="G86" s="179">
        <v>50</v>
      </c>
      <c r="H86" s="56">
        <v>50</v>
      </c>
      <c r="I86" s="180">
        <v>50</v>
      </c>
      <c r="J86" s="61"/>
      <c r="K86" s="179">
        <v>50</v>
      </c>
      <c r="L86" s="56">
        <v>50</v>
      </c>
      <c r="M86" s="180">
        <v>50</v>
      </c>
      <c r="N86" s="61"/>
      <c r="O86" s="207">
        <v>130</v>
      </c>
      <c r="P86" s="208">
        <v>130</v>
      </c>
      <c r="Q86" s="209">
        <v>130</v>
      </c>
      <c r="R86" s="61"/>
      <c r="S86" s="20">
        <v>225</v>
      </c>
      <c r="T86" s="6">
        <v>225</v>
      </c>
      <c r="U86" s="21">
        <v>225</v>
      </c>
      <c r="V86" s="61"/>
      <c r="W86" s="243">
        <v>200</v>
      </c>
      <c r="X86" s="244">
        <v>150</v>
      </c>
      <c r="Y86" s="245">
        <v>150</v>
      </c>
      <c r="Z86" s="61"/>
      <c r="AA86" s="89">
        <v>180</v>
      </c>
      <c r="AB86" s="61"/>
      <c r="AC86" s="89">
        <v>180</v>
      </c>
      <c r="AD86" s="61"/>
      <c r="AE86" s="63">
        <v>200</v>
      </c>
      <c r="AF86" s="61"/>
      <c r="AG86" s="63">
        <v>200</v>
      </c>
      <c r="AL86" s="61"/>
      <c r="AM86" s="63">
        <v>200</v>
      </c>
      <c r="AN86" s="61"/>
      <c r="AO86" s="63">
        <v>200</v>
      </c>
      <c r="AQ86" s="1">
        <v>30</v>
      </c>
    </row>
    <row r="87" spans="1:43" x14ac:dyDescent="0.45">
      <c r="A87" s="1">
        <f>A86+1000</f>
        <v>1040</v>
      </c>
      <c r="B87" s="1" t="s">
        <v>91</v>
      </c>
      <c r="C87" s="234">
        <v>220</v>
      </c>
      <c r="D87" s="235">
        <v>80</v>
      </c>
      <c r="E87" s="236">
        <v>80</v>
      </c>
      <c r="F87" s="61"/>
      <c r="G87" s="237">
        <v>80</v>
      </c>
      <c r="H87" s="238">
        <v>75</v>
      </c>
      <c r="I87" s="239">
        <v>75</v>
      </c>
      <c r="J87" s="61"/>
      <c r="K87" s="240">
        <v>100</v>
      </c>
      <c r="L87" s="241">
        <v>80</v>
      </c>
      <c r="M87" s="242">
        <v>75</v>
      </c>
      <c r="N87" s="61"/>
      <c r="O87" s="207">
        <f>O86</f>
        <v>130</v>
      </c>
      <c r="P87" s="208">
        <f>P86</f>
        <v>130</v>
      </c>
      <c r="Q87" s="209">
        <f>Q86</f>
        <v>130</v>
      </c>
      <c r="R87" s="61"/>
      <c r="S87" s="20">
        <f>S86</f>
        <v>225</v>
      </c>
      <c r="T87" s="6">
        <f>T86</f>
        <v>225</v>
      </c>
      <c r="U87" s="21">
        <f>U86</f>
        <v>225</v>
      </c>
      <c r="V87" s="61"/>
      <c r="W87" s="243">
        <f>W86</f>
        <v>200</v>
      </c>
      <c r="X87" s="244">
        <f>X86</f>
        <v>150</v>
      </c>
      <c r="Y87" s="245">
        <f>Y86</f>
        <v>150</v>
      </c>
      <c r="Z87" s="61"/>
      <c r="AA87" s="89">
        <f>AA86</f>
        <v>180</v>
      </c>
      <c r="AB87" s="61"/>
      <c r="AC87" s="89">
        <f>AC86</f>
        <v>180</v>
      </c>
      <c r="AD87" s="61"/>
      <c r="AE87" s="63">
        <f>AE86</f>
        <v>200</v>
      </c>
      <c r="AF87" s="61"/>
      <c r="AG87" s="63">
        <f>AG86</f>
        <v>200</v>
      </c>
      <c r="AH87" s="52"/>
      <c r="AI87" s="52"/>
      <c r="AJ87" s="52"/>
      <c r="AL87" s="61"/>
      <c r="AM87" s="63">
        <f>AM86</f>
        <v>200</v>
      </c>
      <c r="AN87" s="61"/>
      <c r="AO87" s="63">
        <f>AO86</f>
        <v>200</v>
      </c>
      <c r="AQ87" s="1">
        <v>30</v>
      </c>
    </row>
    <row r="88" spans="1:43" x14ac:dyDescent="0.45">
      <c r="A88" s="1">
        <f>A86+1</f>
        <v>41</v>
      </c>
      <c r="B88" s="1" t="s">
        <v>86</v>
      </c>
      <c r="C88" s="184">
        <v>50</v>
      </c>
      <c r="D88" s="185">
        <v>120</v>
      </c>
      <c r="E88" s="186">
        <v>120</v>
      </c>
      <c r="F88" s="61"/>
      <c r="G88" s="184">
        <v>50</v>
      </c>
      <c r="H88" s="185">
        <v>120</v>
      </c>
      <c r="I88" s="186">
        <v>120</v>
      </c>
      <c r="J88" s="61"/>
      <c r="K88" s="187">
        <v>10</v>
      </c>
      <c r="L88" s="188">
        <v>60</v>
      </c>
      <c r="M88" s="189">
        <v>60</v>
      </c>
      <c r="N88" s="61"/>
      <c r="O88" s="20">
        <v>225</v>
      </c>
      <c r="P88" s="6">
        <v>225</v>
      </c>
      <c r="Q88" s="21">
        <v>225</v>
      </c>
      <c r="R88" s="61"/>
      <c r="S88" s="20">
        <v>225</v>
      </c>
      <c r="T88" s="6">
        <v>225</v>
      </c>
      <c r="U88" s="21">
        <v>225</v>
      </c>
      <c r="V88" s="61"/>
      <c r="W88" s="184">
        <v>50</v>
      </c>
      <c r="X88" s="185">
        <v>120</v>
      </c>
      <c r="Y88" s="186">
        <v>120</v>
      </c>
      <c r="Z88" s="61"/>
      <c r="AA88" s="89">
        <v>180</v>
      </c>
      <c r="AB88" s="61"/>
      <c r="AC88" s="89">
        <v>180</v>
      </c>
      <c r="AD88" s="61"/>
      <c r="AE88" s="63">
        <v>200</v>
      </c>
      <c r="AF88" s="61"/>
      <c r="AG88" s="63">
        <v>200</v>
      </c>
      <c r="AL88" s="61"/>
      <c r="AM88" s="63">
        <v>200</v>
      </c>
      <c r="AN88" s="61"/>
      <c r="AO88" s="63">
        <v>200</v>
      </c>
      <c r="AQ88" s="1">
        <v>30</v>
      </c>
    </row>
    <row r="89" spans="1:43" x14ac:dyDescent="0.45">
      <c r="A89" s="1">
        <f>A88+1000</f>
        <v>1041</v>
      </c>
      <c r="B89" s="1" t="s">
        <v>91</v>
      </c>
      <c r="C89" s="201">
        <v>70</v>
      </c>
      <c r="D89" s="202">
        <v>140</v>
      </c>
      <c r="E89" s="203">
        <f>E88</f>
        <v>120</v>
      </c>
      <c r="F89" s="61"/>
      <c r="G89" s="201">
        <v>70</v>
      </c>
      <c r="H89" s="202">
        <v>140</v>
      </c>
      <c r="I89" s="203">
        <f>I88</f>
        <v>120</v>
      </c>
      <c r="J89" s="61"/>
      <c r="K89" s="204">
        <v>30</v>
      </c>
      <c r="L89" s="205">
        <v>90</v>
      </c>
      <c r="M89" s="206">
        <f>M88</f>
        <v>60</v>
      </c>
      <c r="N89" s="61"/>
      <c r="O89" s="20">
        <f>O88</f>
        <v>225</v>
      </c>
      <c r="P89" s="6">
        <f>P88</f>
        <v>225</v>
      </c>
      <c r="Q89" s="21">
        <f>Q88</f>
        <v>225</v>
      </c>
      <c r="R89" s="61"/>
      <c r="S89" s="20">
        <f>S88</f>
        <v>225</v>
      </c>
      <c r="T89" s="6">
        <f>T88</f>
        <v>225</v>
      </c>
      <c r="U89" s="21">
        <f>U88</f>
        <v>225</v>
      </c>
      <c r="V89" s="61"/>
      <c r="W89" s="184">
        <f>W88</f>
        <v>50</v>
      </c>
      <c r="X89" s="185">
        <f>X88</f>
        <v>120</v>
      </c>
      <c r="Y89" s="186">
        <f>Y88</f>
        <v>120</v>
      </c>
      <c r="Z89" s="61"/>
      <c r="AA89" s="89">
        <f>AA88</f>
        <v>180</v>
      </c>
      <c r="AB89" s="61"/>
      <c r="AC89" s="89">
        <f>AC88</f>
        <v>180</v>
      </c>
      <c r="AD89" s="61"/>
      <c r="AE89" s="63">
        <f>AE88</f>
        <v>200</v>
      </c>
      <c r="AF89" s="61"/>
      <c r="AG89" s="63">
        <f>AG88</f>
        <v>200</v>
      </c>
      <c r="AH89" s="52"/>
      <c r="AI89" s="52"/>
      <c r="AJ89" s="52"/>
      <c r="AL89" s="61"/>
      <c r="AM89" s="63">
        <f>AM88</f>
        <v>200</v>
      </c>
      <c r="AN89" s="61"/>
      <c r="AO89" s="63">
        <f>AO88</f>
        <v>200</v>
      </c>
      <c r="AQ89" s="1">
        <v>30</v>
      </c>
    </row>
    <row r="90" spans="1:43" x14ac:dyDescent="0.45">
      <c r="A90" s="1">
        <f>A88+1</f>
        <v>42</v>
      </c>
      <c r="B90" s="1" t="s">
        <v>87</v>
      </c>
      <c r="C90" s="216">
        <v>70</v>
      </c>
      <c r="D90" s="217">
        <v>160</v>
      </c>
      <c r="E90" s="218">
        <v>250</v>
      </c>
      <c r="F90" s="61"/>
      <c r="G90" s="219">
        <v>70</v>
      </c>
      <c r="H90" s="220">
        <v>120</v>
      </c>
      <c r="I90" s="221">
        <v>250</v>
      </c>
      <c r="J90" s="61"/>
      <c r="K90" s="222">
        <v>180</v>
      </c>
      <c r="L90" s="223">
        <v>220</v>
      </c>
      <c r="M90" s="224">
        <v>250</v>
      </c>
      <c r="N90" s="61"/>
      <c r="O90" s="20">
        <v>225</v>
      </c>
      <c r="P90" s="6">
        <v>225</v>
      </c>
      <c r="Q90" s="21">
        <v>225</v>
      </c>
      <c r="R90" s="61"/>
      <c r="S90" s="20">
        <v>225</v>
      </c>
      <c r="T90" s="6">
        <v>225</v>
      </c>
      <c r="U90" s="21">
        <v>225</v>
      </c>
      <c r="V90" s="61"/>
      <c r="W90" s="195">
        <v>100</v>
      </c>
      <c r="X90" s="196">
        <v>100</v>
      </c>
      <c r="Y90" s="197">
        <v>254</v>
      </c>
      <c r="Z90" s="61"/>
      <c r="AA90" s="89">
        <v>180</v>
      </c>
      <c r="AB90" s="61"/>
      <c r="AC90" s="89">
        <v>180</v>
      </c>
      <c r="AD90" s="61"/>
      <c r="AE90" s="63">
        <v>200</v>
      </c>
      <c r="AF90" s="61"/>
      <c r="AG90" s="63">
        <v>200</v>
      </c>
      <c r="AL90" s="61"/>
      <c r="AM90" s="63">
        <v>200</v>
      </c>
      <c r="AN90" s="61"/>
      <c r="AO90" s="63">
        <v>200</v>
      </c>
      <c r="AQ90" s="1">
        <v>30</v>
      </c>
    </row>
    <row r="91" spans="1:43" x14ac:dyDescent="0.45">
      <c r="A91" s="1">
        <f>A90+1000</f>
        <v>1042</v>
      </c>
      <c r="B91" s="1" t="s">
        <v>91</v>
      </c>
      <c r="C91" s="225">
        <v>160</v>
      </c>
      <c r="D91" s="226">
        <v>160</v>
      </c>
      <c r="E91" s="227">
        <v>250</v>
      </c>
      <c r="F91" s="61"/>
      <c r="G91" s="228">
        <v>110</v>
      </c>
      <c r="H91" s="229">
        <v>160</v>
      </c>
      <c r="I91" s="230">
        <v>250</v>
      </c>
      <c r="J91" s="61"/>
      <c r="K91" s="231">
        <v>150</v>
      </c>
      <c r="L91" s="232">
        <v>170</v>
      </c>
      <c r="M91" s="233">
        <v>250</v>
      </c>
      <c r="N91" s="61"/>
      <c r="O91" s="20">
        <f>O90</f>
        <v>225</v>
      </c>
      <c r="P91" s="6">
        <f>P90</f>
        <v>225</v>
      </c>
      <c r="Q91" s="21">
        <f>Q90</f>
        <v>225</v>
      </c>
      <c r="R91" s="61"/>
      <c r="S91" s="20">
        <f>S90</f>
        <v>225</v>
      </c>
      <c r="T91" s="6">
        <f>T90</f>
        <v>225</v>
      </c>
      <c r="U91" s="21">
        <f>U90</f>
        <v>225</v>
      </c>
      <c r="V91" s="61"/>
      <c r="W91" s="195">
        <f>W90</f>
        <v>100</v>
      </c>
      <c r="X91" s="196">
        <f>X90</f>
        <v>100</v>
      </c>
      <c r="Y91" s="197">
        <f>Y90</f>
        <v>254</v>
      </c>
      <c r="Z91" s="61"/>
      <c r="AA91" s="89">
        <f>AA90</f>
        <v>180</v>
      </c>
      <c r="AB91" s="61"/>
      <c r="AC91" s="89">
        <f>AC90</f>
        <v>180</v>
      </c>
      <c r="AD91" s="61"/>
      <c r="AE91" s="63">
        <f>AE90</f>
        <v>200</v>
      </c>
      <c r="AF91" s="61"/>
      <c r="AG91" s="63">
        <f>AG90</f>
        <v>200</v>
      </c>
      <c r="AH91" s="52"/>
      <c r="AI91" s="52"/>
      <c r="AJ91" s="52"/>
      <c r="AL91" s="61"/>
      <c r="AM91" s="63">
        <f>AM90</f>
        <v>200</v>
      </c>
      <c r="AN91" s="61"/>
      <c r="AO91" s="63">
        <f>AO90</f>
        <v>200</v>
      </c>
      <c r="AQ91" s="1">
        <v>30</v>
      </c>
    </row>
    <row r="92" spans="1:43" x14ac:dyDescent="0.45">
      <c r="A92" s="1">
        <f t="shared" ref="A92" si="0">A90+1</f>
        <v>43</v>
      </c>
      <c r="B92" s="1" t="s">
        <v>88</v>
      </c>
      <c r="C92" s="276">
        <v>254</v>
      </c>
      <c r="D92" s="277">
        <v>188</v>
      </c>
      <c r="E92" s="278">
        <v>50</v>
      </c>
      <c r="F92" s="61"/>
      <c r="G92" s="291">
        <v>166</v>
      </c>
      <c r="H92" s="292">
        <v>118</v>
      </c>
      <c r="I92" s="293">
        <f>I95</f>
        <v>128</v>
      </c>
      <c r="J92" s="61"/>
      <c r="K92" s="198">
        <v>128</v>
      </c>
      <c r="L92" s="199">
        <v>60</v>
      </c>
      <c r="M92" s="200">
        <v>40</v>
      </c>
      <c r="N92" s="61"/>
      <c r="O92" s="246">
        <v>254</v>
      </c>
      <c r="P92" s="247">
        <v>154</v>
      </c>
      <c r="Q92" s="248">
        <v>140</v>
      </c>
      <c r="R92" s="61"/>
      <c r="S92" s="249">
        <v>246</v>
      </c>
      <c r="T92" s="250">
        <v>238</v>
      </c>
      <c r="U92" s="251">
        <v>218</v>
      </c>
      <c r="V92" s="61"/>
      <c r="W92" s="114">
        <v>254</v>
      </c>
      <c r="X92" s="115">
        <v>153</v>
      </c>
      <c r="Y92" s="116">
        <v>51</v>
      </c>
      <c r="Z92" s="61"/>
      <c r="AA92" s="92">
        <v>0</v>
      </c>
      <c r="AB92" s="61"/>
      <c r="AC92" s="92">
        <v>0</v>
      </c>
      <c r="AD92" s="61"/>
      <c r="AE92" s="92">
        <v>0</v>
      </c>
      <c r="AF92" s="61"/>
      <c r="AG92" s="92">
        <v>0</v>
      </c>
      <c r="AL92" s="61"/>
      <c r="AM92" s="92">
        <v>0</v>
      </c>
      <c r="AN92" s="61"/>
      <c r="AO92" s="92">
        <v>0</v>
      </c>
      <c r="AQ92" s="1">
        <v>30</v>
      </c>
    </row>
    <row r="93" spans="1:43" x14ac:dyDescent="0.45">
      <c r="A93" s="1">
        <f>A92+1000</f>
        <v>1043</v>
      </c>
      <c r="B93" s="1" t="s">
        <v>98</v>
      </c>
      <c r="C93" s="114">
        <v>254</v>
      </c>
      <c r="D93" s="115">
        <v>153</v>
      </c>
      <c r="E93" s="116">
        <v>51</v>
      </c>
      <c r="F93" s="61"/>
      <c r="G93" s="294">
        <f>G92+15</f>
        <v>181</v>
      </c>
      <c r="H93" s="295">
        <f>H92+10</f>
        <v>128</v>
      </c>
      <c r="I93" s="296">
        <v>138</v>
      </c>
      <c r="J93" s="61"/>
      <c r="K93" s="268">
        <f>K92+10</f>
        <v>138</v>
      </c>
      <c r="L93" s="269">
        <f>L92+15</f>
        <v>75</v>
      </c>
      <c r="M93" s="270">
        <f>M92-10</f>
        <v>30</v>
      </c>
      <c r="N93" s="61"/>
      <c r="O93" s="249">
        <v>246</v>
      </c>
      <c r="P93" s="250">
        <v>238</v>
      </c>
      <c r="Q93" s="251">
        <v>218</v>
      </c>
      <c r="R93" s="61"/>
      <c r="S93" s="252">
        <v>245</v>
      </c>
      <c r="T93" s="253">
        <v>224</v>
      </c>
      <c r="U93" s="254">
        <v>218</v>
      </c>
      <c r="V93" s="61"/>
      <c r="W93" s="168">
        <v>100</v>
      </c>
      <c r="X93" s="58">
        <v>100</v>
      </c>
      <c r="Y93" s="169">
        <v>100</v>
      </c>
      <c r="Z93" s="61"/>
      <c r="AA93" s="92">
        <v>0</v>
      </c>
      <c r="AB93" s="61"/>
      <c r="AC93" s="92">
        <v>0</v>
      </c>
      <c r="AD93" s="61"/>
      <c r="AE93" s="92">
        <v>0</v>
      </c>
      <c r="AF93" s="61"/>
      <c r="AG93" s="92">
        <v>0</v>
      </c>
      <c r="AH93" s="52"/>
      <c r="AI93" s="52"/>
      <c r="AJ93" s="52"/>
      <c r="AL93" s="61"/>
      <c r="AM93" s="92">
        <v>0</v>
      </c>
      <c r="AN93" s="61"/>
      <c r="AO93" s="92">
        <v>0</v>
      </c>
      <c r="AQ93" s="1">
        <v>30</v>
      </c>
    </row>
    <row r="94" spans="1:43" x14ac:dyDescent="0.45">
      <c r="A94" s="1">
        <f>A93+1000</f>
        <v>2043</v>
      </c>
      <c r="B94" s="1" t="s">
        <v>98</v>
      </c>
      <c r="C94" s="279">
        <f>C93-10</f>
        <v>244</v>
      </c>
      <c r="D94" s="280">
        <f>D93+15</f>
        <v>168</v>
      </c>
      <c r="E94" s="281">
        <f>E93-10</f>
        <v>41</v>
      </c>
      <c r="F94" s="61"/>
      <c r="G94" s="297">
        <f>G93+15</f>
        <v>196</v>
      </c>
      <c r="H94" s="298">
        <f>H93+10</f>
        <v>138</v>
      </c>
      <c r="I94" s="299">
        <f>I93-10</f>
        <v>128</v>
      </c>
      <c r="J94" s="61"/>
      <c r="K94" s="271">
        <f>K93+10</f>
        <v>148</v>
      </c>
      <c r="L94" s="272">
        <f>L93+15</f>
        <v>90</v>
      </c>
      <c r="M94" s="273">
        <f>M93-10</f>
        <v>20</v>
      </c>
      <c r="N94" s="61"/>
      <c r="O94" s="252">
        <v>245</v>
      </c>
      <c r="P94" s="253">
        <v>224</v>
      </c>
      <c r="Q94" s="254">
        <v>218</v>
      </c>
      <c r="R94" s="61"/>
      <c r="S94" s="255">
        <v>254</v>
      </c>
      <c r="T94" s="256">
        <v>140</v>
      </c>
      <c r="U94" s="257">
        <v>161</v>
      </c>
      <c r="V94" s="61"/>
      <c r="W94" s="168">
        <v>100</v>
      </c>
      <c r="X94" s="58">
        <v>100</v>
      </c>
      <c r="Y94" s="169">
        <v>100</v>
      </c>
      <c r="Z94" s="61"/>
      <c r="AA94" s="92">
        <v>0</v>
      </c>
      <c r="AB94" s="61"/>
      <c r="AC94" s="92">
        <v>0</v>
      </c>
      <c r="AD94" s="61"/>
      <c r="AE94" s="92">
        <v>0</v>
      </c>
      <c r="AF94" s="61"/>
      <c r="AG94" s="92">
        <v>0</v>
      </c>
      <c r="AH94" s="52"/>
      <c r="AI94" s="52"/>
      <c r="AJ94" s="52"/>
      <c r="AL94" s="61"/>
      <c r="AM94" s="92">
        <v>0</v>
      </c>
      <c r="AN94" s="61"/>
      <c r="AO94" s="92">
        <v>0</v>
      </c>
      <c r="AQ94" s="1">
        <v>30</v>
      </c>
    </row>
    <row r="95" spans="1:43" x14ac:dyDescent="0.45">
      <c r="A95" s="1">
        <f>A94+1000</f>
        <v>3043</v>
      </c>
      <c r="B95" s="1" t="s">
        <v>98</v>
      </c>
      <c r="C95" s="282">
        <f>C94-10</f>
        <v>234</v>
      </c>
      <c r="D95" s="283">
        <f>D94</f>
        <v>168</v>
      </c>
      <c r="E95" s="284">
        <f>E94</f>
        <v>41</v>
      </c>
      <c r="F95" s="61"/>
      <c r="G95" s="300">
        <f>G94+15</f>
        <v>211</v>
      </c>
      <c r="H95" s="301">
        <f>H94-10</f>
        <v>128</v>
      </c>
      <c r="I95" s="302">
        <f>I94</f>
        <v>128</v>
      </c>
      <c r="J95" s="61"/>
      <c r="K95" s="198">
        <v>128</v>
      </c>
      <c r="L95" s="199">
        <v>60</v>
      </c>
      <c r="M95" s="200">
        <v>40</v>
      </c>
      <c r="N95" s="61"/>
      <c r="O95" s="255">
        <v>254</v>
      </c>
      <c r="P95" s="256">
        <v>140</v>
      </c>
      <c r="Q95" s="257">
        <v>161</v>
      </c>
      <c r="R95" s="61"/>
      <c r="S95" s="258">
        <v>254</v>
      </c>
      <c r="T95" s="259">
        <v>165</v>
      </c>
      <c r="U95" s="260">
        <v>140</v>
      </c>
      <c r="V95" s="61"/>
      <c r="W95" s="168">
        <v>100</v>
      </c>
      <c r="X95" s="58">
        <v>100</v>
      </c>
      <c r="Y95" s="169">
        <v>100</v>
      </c>
      <c r="Z95" s="61"/>
      <c r="AA95" s="92">
        <v>0</v>
      </c>
      <c r="AB95" s="61"/>
      <c r="AC95" s="92">
        <v>0</v>
      </c>
      <c r="AD95" s="61"/>
      <c r="AE95" s="92">
        <v>0</v>
      </c>
      <c r="AF95" s="61"/>
      <c r="AG95" s="92">
        <v>0</v>
      </c>
      <c r="AH95" s="52"/>
      <c r="AI95" s="52"/>
      <c r="AJ95" s="52"/>
      <c r="AL95" s="61"/>
      <c r="AM95" s="92">
        <v>0</v>
      </c>
      <c r="AN95" s="61"/>
      <c r="AO95" s="92">
        <v>0</v>
      </c>
      <c r="AQ95" s="1">
        <v>30</v>
      </c>
    </row>
    <row r="96" spans="1:43" x14ac:dyDescent="0.45">
      <c r="A96" s="1">
        <f>A95+1000</f>
        <v>4043</v>
      </c>
      <c r="B96" s="1" t="s">
        <v>98</v>
      </c>
      <c r="C96" s="285">
        <f>C95-10</f>
        <v>224</v>
      </c>
      <c r="D96" s="286">
        <f>D95+10</f>
        <v>178</v>
      </c>
      <c r="E96" s="287">
        <f>E95-10</f>
        <v>31</v>
      </c>
      <c r="F96" s="61"/>
      <c r="G96" s="303">
        <f>G95-15</f>
        <v>196</v>
      </c>
      <c r="H96" s="304">
        <f>H95-10</f>
        <v>118</v>
      </c>
      <c r="I96" s="305">
        <f>I95-10</f>
        <v>118</v>
      </c>
      <c r="J96" s="61"/>
      <c r="K96" s="264">
        <f>K95+10</f>
        <v>138</v>
      </c>
      <c r="L96" s="274">
        <f>L95+10</f>
        <v>70</v>
      </c>
      <c r="M96" s="265">
        <f>M95-10</f>
        <v>30</v>
      </c>
      <c r="N96" s="61"/>
      <c r="O96" s="258">
        <v>254</v>
      </c>
      <c r="P96" s="259">
        <v>165</v>
      </c>
      <c r="Q96" s="260">
        <v>140</v>
      </c>
      <c r="R96" s="61"/>
      <c r="S96" s="261">
        <v>254</v>
      </c>
      <c r="T96" s="262">
        <v>188</v>
      </c>
      <c r="U96" s="263">
        <v>140</v>
      </c>
      <c r="V96" s="61"/>
      <c r="W96" s="168">
        <v>100</v>
      </c>
      <c r="X96" s="58">
        <v>100</v>
      </c>
      <c r="Y96" s="169">
        <v>100</v>
      </c>
      <c r="Z96" s="61"/>
      <c r="AA96" s="92">
        <v>0</v>
      </c>
      <c r="AB96" s="61"/>
      <c r="AC96" s="92">
        <v>0</v>
      </c>
      <c r="AD96" s="61"/>
      <c r="AE96" s="92">
        <v>0</v>
      </c>
      <c r="AF96" s="61"/>
      <c r="AG96" s="92">
        <v>0</v>
      </c>
      <c r="AH96" s="52"/>
      <c r="AI96" s="52"/>
      <c r="AJ96" s="52"/>
      <c r="AL96" s="61"/>
      <c r="AM96" s="92">
        <v>0</v>
      </c>
      <c r="AN96" s="61"/>
      <c r="AO96" s="92">
        <v>0</v>
      </c>
      <c r="AQ96" s="1">
        <v>30</v>
      </c>
    </row>
    <row r="97" spans="1:43" x14ac:dyDescent="0.45">
      <c r="A97" s="1">
        <f>A96+1000</f>
        <v>5043</v>
      </c>
      <c r="B97" s="1" t="s">
        <v>98</v>
      </c>
      <c r="C97" s="288">
        <f>C96-10</f>
        <v>214</v>
      </c>
      <c r="D97" s="289">
        <f>D96+10</f>
        <v>188</v>
      </c>
      <c r="E97" s="290">
        <f>E96-10</f>
        <v>21</v>
      </c>
      <c r="F97" s="61"/>
      <c r="G97" s="306">
        <f>G96-15</f>
        <v>181</v>
      </c>
      <c r="H97" s="307">
        <f>H96+15</f>
        <v>133</v>
      </c>
      <c r="I97" s="308">
        <f>I96-10</f>
        <v>108</v>
      </c>
      <c r="J97" s="61"/>
      <c r="K97" s="266">
        <f>K96+10</f>
        <v>148</v>
      </c>
      <c r="L97" s="275">
        <f>L96+10</f>
        <v>80</v>
      </c>
      <c r="M97" s="267">
        <f>M96-10</f>
        <v>20</v>
      </c>
      <c r="N97" s="61"/>
      <c r="O97" s="261">
        <v>254</v>
      </c>
      <c r="P97" s="262">
        <v>188</v>
      </c>
      <c r="Q97" s="263">
        <v>140</v>
      </c>
      <c r="R97" s="61"/>
      <c r="S97" s="246">
        <v>254</v>
      </c>
      <c r="T97" s="247">
        <v>154</v>
      </c>
      <c r="U97" s="248">
        <v>140</v>
      </c>
      <c r="V97" s="61"/>
      <c r="W97" s="168">
        <v>100</v>
      </c>
      <c r="X97" s="58">
        <v>100</v>
      </c>
      <c r="Y97" s="169">
        <v>100</v>
      </c>
      <c r="Z97" s="61"/>
      <c r="AA97" s="92">
        <v>0</v>
      </c>
      <c r="AB97" s="61"/>
      <c r="AC97" s="92">
        <v>0</v>
      </c>
      <c r="AD97" s="61"/>
      <c r="AE97" s="92">
        <v>0</v>
      </c>
      <c r="AF97" s="61"/>
      <c r="AG97" s="92">
        <v>0</v>
      </c>
      <c r="AH97" s="52"/>
      <c r="AI97" s="52"/>
      <c r="AJ97" s="52"/>
      <c r="AL97" s="61"/>
      <c r="AM97" s="92">
        <v>0</v>
      </c>
      <c r="AN97" s="61"/>
      <c r="AO97" s="92">
        <v>0</v>
      </c>
      <c r="AQ97" s="1">
        <v>30</v>
      </c>
    </row>
    <row r="98" spans="1:43" x14ac:dyDescent="0.45"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L98" s="60"/>
      <c r="AM98" s="60"/>
      <c r="AN98" s="60"/>
      <c r="AO98" s="60"/>
    </row>
    <row r="99" spans="1:43" x14ac:dyDescent="0.45"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L99" s="60"/>
      <c r="AM99" s="60"/>
      <c r="AN99" s="60"/>
      <c r="AO99" s="60"/>
    </row>
    <row r="100" spans="1:43" x14ac:dyDescent="0.45"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L100" s="60"/>
      <c r="AM100" s="60"/>
      <c r="AN100" s="60"/>
      <c r="AO100" s="60"/>
    </row>
    <row r="101" spans="1:43" x14ac:dyDescent="0.45"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L101" s="60"/>
      <c r="AM101" s="60"/>
      <c r="AN101" s="60"/>
      <c r="AO101" s="60"/>
    </row>
    <row r="102" spans="1:43" x14ac:dyDescent="0.45"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L102" s="60"/>
      <c r="AM102" s="60"/>
      <c r="AN102" s="60"/>
      <c r="AO102" s="60"/>
    </row>
    <row r="103" spans="1:43" x14ac:dyDescent="0.45"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L103" s="60"/>
      <c r="AM103" s="60"/>
      <c r="AN103" s="60"/>
      <c r="AO103" s="60"/>
    </row>
    <row r="104" spans="1:43" x14ac:dyDescent="0.45"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L104" s="60"/>
      <c r="AM104" s="60"/>
      <c r="AN104" s="60"/>
      <c r="AO104" s="60"/>
    </row>
    <row r="105" spans="1:43" x14ac:dyDescent="0.45"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L105" s="60"/>
      <c r="AM105" s="60"/>
      <c r="AN105" s="60"/>
      <c r="AO105" s="60"/>
    </row>
    <row r="106" spans="1:43" x14ac:dyDescent="0.45"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L106" s="60"/>
      <c r="AM106" s="60"/>
      <c r="AN106" s="60"/>
      <c r="AO106" s="60"/>
    </row>
    <row r="107" spans="1:43" x14ac:dyDescent="0.45"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L107" s="60"/>
      <c r="AM107" s="60"/>
      <c r="AN107" s="60"/>
      <c r="AO107" s="60"/>
    </row>
    <row r="108" spans="1:43" x14ac:dyDescent="0.45"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L108" s="60"/>
      <c r="AM108" s="60"/>
      <c r="AN108" s="60"/>
      <c r="AO108" s="60"/>
    </row>
    <row r="109" spans="1:43" x14ac:dyDescent="0.45"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L109" s="60"/>
      <c r="AM109" s="60"/>
      <c r="AN109" s="60"/>
      <c r="AO109" s="60"/>
    </row>
    <row r="110" spans="1:43" x14ac:dyDescent="0.45"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L110" s="60"/>
      <c r="AM110" s="60"/>
      <c r="AN110" s="60"/>
      <c r="AO110" s="60"/>
    </row>
    <row r="111" spans="1:43" x14ac:dyDescent="0.45"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L111" s="60"/>
      <c r="AM111" s="60"/>
      <c r="AN111" s="60"/>
      <c r="AO111" s="60"/>
    </row>
    <row r="112" spans="1:43" x14ac:dyDescent="0.45"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L112" s="60"/>
      <c r="AM112" s="60"/>
      <c r="AN112" s="60"/>
      <c r="AO112" s="60"/>
    </row>
    <row r="113" spans="3:41" x14ac:dyDescent="0.45"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L113" s="60"/>
      <c r="AM113" s="60"/>
      <c r="AN113" s="60"/>
      <c r="AO113" s="60"/>
    </row>
    <row r="114" spans="3:41" x14ac:dyDescent="0.45"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L114" s="60"/>
      <c r="AM114" s="60"/>
      <c r="AN114" s="60"/>
      <c r="AO114" s="60"/>
    </row>
    <row r="115" spans="3:41" x14ac:dyDescent="0.45"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L115" s="60"/>
      <c r="AM115" s="60"/>
      <c r="AN115" s="60"/>
      <c r="AO115" s="60"/>
    </row>
    <row r="116" spans="3:41" x14ac:dyDescent="0.45"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L116" s="60"/>
      <c r="AM116" s="60"/>
      <c r="AN116" s="60"/>
      <c r="AO116" s="60"/>
    </row>
    <row r="117" spans="3:41" x14ac:dyDescent="0.45"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L117" s="60"/>
      <c r="AM117" s="60"/>
      <c r="AN117" s="60"/>
      <c r="AO117" s="60"/>
    </row>
    <row r="118" spans="3:41" x14ac:dyDescent="0.45"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L118" s="60"/>
      <c r="AM118" s="60"/>
      <c r="AN118" s="60"/>
      <c r="AO118" s="60"/>
    </row>
    <row r="119" spans="3:41" x14ac:dyDescent="0.45"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L119" s="60"/>
      <c r="AM119" s="60"/>
      <c r="AN119" s="60"/>
      <c r="AO119" s="60"/>
    </row>
    <row r="120" spans="3:41" x14ac:dyDescent="0.45"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L120" s="60"/>
      <c r="AM120" s="60"/>
      <c r="AN120" s="60"/>
      <c r="AO120" s="60"/>
    </row>
    <row r="121" spans="3:41" x14ac:dyDescent="0.45"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L121" s="60"/>
      <c r="AM121" s="60"/>
      <c r="AN121" s="60"/>
      <c r="AO121" s="60"/>
    </row>
    <row r="122" spans="3:41" x14ac:dyDescent="0.45"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L122" s="60"/>
      <c r="AM122" s="60"/>
      <c r="AN122" s="60"/>
      <c r="AO122" s="60"/>
    </row>
    <row r="123" spans="3:41" x14ac:dyDescent="0.45"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L123" s="60"/>
      <c r="AM123" s="60"/>
      <c r="AN123" s="60"/>
      <c r="AO123" s="60"/>
    </row>
    <row r="124" spans="3:41" x14ac:dyDescent="0.45"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L124" s="60"/>
      <c r="AM124" s="60"/>
      <c r="AN124" s="60"/>
      <c r="AO124" s="60"/>
    </row>
    <row r="125" spans="3:41" x14ac:dyDescent="0.45"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L125" s="60"/>
      <c r="AM125" s="60"/>
      <c r="AN125" s="60"/>
      <c r="AO125" s="60"/>
    </row>
    <row r="126" spans="3:41" x14ac:dyDescent="0.45"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L126" s="60"/>
      <c r="AM126" s="60"/>
      <c r="AN126" s="60"/>
      <c r="AO126" s="60"/>
    </row>
    <row r="127" spans="3:41" x14ac:dyDescent="0.45"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L127" s="60"/>
      <c r="AM127" s="60"/>
      <c r="AN127" s="60"/>
      <c r="AO127" s="60"/>
    </row>
    <row r="128" spans="3:41" x14ac:dyDescent="0.45"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L128" s="60"/>
      <c r="AM128" s="60"/>
      <c r="AN128" s="60"/>
      <c r="AO128" s="60"/>
    </row>
    <row r="129" spans="3:41" x14ac:dyDescent="0.45"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L129" s="60"/>
      <c r="AM129" s="60"/>
      <c r="AN129" s="60"/>
      <c r="AO129" s="60"/>
    </row>
    <row r="130" spans="3:41" x14ac:dyDescent="0.45"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L130" s="60"/>
      <c r="AM130" s="60"/>
      <c r="AN130" s="60"/>
      <c r="AO130" s="60"/>
    </row>
    <row r="131" spans="3:41" x14ac:dyDescent="0.45"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L131" s="60"/>
      <c r="AM131" s="60"/>
      <c r="AN131" s="60"/>
      <c r="AO131" s="60"/>
    </row>
    <row r="132" spans="3:41" x14ac:dyDescent="0.45"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L132" s="60"/>
      <c r="AM132" s="60"/>
      <c r="AN132" s="60"/>
      <c r="AO132" s="60"/>
    </row>
    <row r="133" spans="3:41" x14ac:dyDescent="0.45"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L133" s="60"/>
      <c r="AM133" s="60"/>
      <c r="AN133" s="60"/>
      <c r="AO133" s="60"/>
    </row>
    <row r="134" spans="3:41" x14ac:dyDescent="0.45"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L134" s="60"/>
      <c r="AM134" s="60"/>
      <c r="AN134" s="60"/>
      <c r="AO134" s="60"/>
    </row>
    <row r="135" spans="3:41" x14ac:dyDescent="0.45"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L135" s="60"/>
      <c r="AM135" s="60"/>
      <c r="AN135" s="60"/>
      <c r="AO135" s="60"/>
    </row>
    <row r="136" spans="3:41" x14ac:dyDescent="0.45"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L136" s="60"/>
      <c r="AM136" s="60"/>
      <c r="AN136" s="60"/>
      <c r="AO136" s="60"/>
    </row>
    <row r="137" spans="3:41" x14ac:dyDescent="0.45"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L137" s="60"/>
      <c r="AM137" s="60"/>
      <c r="AN137" s="60"/>
      <c r="AO137" s="60"/>
    </row>
    <row r="138" spans="3:41" x14ac:dyDescent="0.45"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L138" s="60"/>
      <c r="AM138" s="60"/>
      <c r="AN138" s="60"/>
      <c r="AO138" s="60"/>
    </row>
    <row r="139" spans="3:41" x14ac:dyDescent="0.45"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L139" s="60"/>
      <c r="AM139" s="60"/>
      <c r="AN139" s="60"/>
      <c r="AO139" s="60"/>
    </row>
    <row r="140" spans="3:41" x14ac:dyDescent="0.45"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L140" s="60"/>
      <c r="AM140" s="60"/>
      <c r="AN140" s="60"/>
      <c r="AO140" s="60"/>
    </row>
    <row r="141" spans="3:41" x14ac:dyDescent="0.45"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L141" s="60"/>
      <c r="AM141" s="60"/>
      <c r="AN141" s="60"/>
      <c r="AO141" s="60"/>
    </row>
    <row r="142" spans="3:41" x14ac:dyDescent="0.45"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L142" s="60"/>
      <c r="AM142" s="60"/>
      <c r="AN142" s="60"/>
      <c r="AO142" s="60"/>
    </row>
    <row r="143" spans="3:41" x14ac:dyDescent="0.45"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L143" s="60"/>
      <c r="AM143" s="60"/>
      <c r="AN143" s="60"/>
      <c r="AO143" s="60"/>
    </row>
    <row r="144" spans="3:41" x14ac:dyDescent="0.45"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L144" s="60"/>
      <c r="AM144" s="60"/>
      <c r="AN144" s="60"/>
      <c r="AO144" s="60"/>
    </row>
    <row r="145" spans="3:41" x14ac:dyDescent="0.45"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L145" s="60"/>
      <c r="AM145" s="60"/>
      <c r="AN145" s="60"/>
      <c r="AO145" s="60"/>
    </row>
    <row r="146" spans="3:41" x14ac:dyDescent="0.45"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L146" s="60"/>
      <c r="AM146" s="60"/>
      <c r="AN146" s="60"/>
      <c r="AO146" s="60"/>
    </row>
    <row r="147" spans="3:41" x14ac:dyDescent="0.45"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L147" s="60"/>
      <c r="AM147" s="60"/>
      <c r="AN147" s="60"/>
      <c r="AO147" s="60"/>
    </row>
    <row r="148" spans="3:41" x14ac:dyDescent="0.45"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L148" s="60"/>
      <c r="AM148" s="60"/>
      <c r="AN148" s="60"/>
      <c r="AO148" s="60"/>
    </row>
    <row r="149" spans="3:41" x14ac:dyDescent="0.45"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L149" s="60"/>
      <c r="AM149" s="60"/>
      <c r="AN149" s="60"/>
      <c r="AO149" s="60"/>
    </row>
    <row r="150" spans="3:41" x14ac:dyDescent="0.45"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L150" s="60"/>
      <c r="AM150" s="60"/>
      <c r="AN150" s="60"/>
      <c r="AO150" s="60"/>
    </row>
    <row r="151" spans="3:41" x14ac:dyDescent="0.45"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L151" s="60"/>
      <c r="AM151" s="60"/>
      <c r="AN151" s="60"/>
      <c r="AO151" s="60"/>
    </row>
    <row r="152" spans="3:41" x14ac:dyDescent="0.45"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L152" s="60"/>
      <c r="AM152" s="60"/>
      <c r="AN152" s="60"/>
      <c r="AO152" s="60"/>
    </row>
    <row r="153" spans="3:41" x14ac:dyDescent="0.45"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L153" s="60"/>
      <c r="AM153" s="60"/>
      <c r="AN153" s="60"/>
      <c r="AO153" s="60"/>
    </row>
    <row r="154" spans="3:41" x14ac:dyDescent="0.45"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L154" s="60"/>
      <c r="AM154" s="60"/>
      <c r="AN154" s="60"/>
      <c r="AO154" s="60"/>
    </row>
    <row r="155" spans="3:41" x14ac:dyDescent="0.45"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L155" s="60"/>
      <c r="AM155" s="60"/>
      <c r="AN155" s="60"/>
      <c r="AO155" s="60"/>
    </row>
    <row r="156" spans="3:41" x14ac:dyDescent="0.45"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L156" s="60"/>
      <c r="AM156" s="60"/>
      <c r="AN156" s="60"/>
      <c r="AO156" s="60"/>
    </row>
    <row r="157" spans="3:41" x14ac:dyDescent="0.45"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L157" s="60"/>
      <c r="AM157" s="60"/>
      <c r="AN157" s="60"/>
      <c r="AO157" s="60"/>
    </row>
    <row r="158" spans="3:41" x14ac:dyDescent="0.45"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L158" s="60"/>
      <c r="AM158" s="60"/>
      <c r="AN158" s="60"/>
      <c r="AO158" s="60"/>
    </row>
    <row r="159" spans="3:41" x14ac:dyDescent="0.45"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L159" s="60"/>
      <c r="AM159" s="60"/>
      <c r="AN159" s="60"/>
      <c r="AO159" s="60"/>
    </row>
    <row r="160" spans="3:41" x14ac:dyDescent="0.45"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L160" s="60"/>
      <c r="AM160" s="60"/>
      <c r="AN160" s="60"/>
      <c r="AO160" s="60"/>
    </row>
    <row r="161" spans="3:41" x14ac:dyDescent="0.45"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L161" s="60"/>
      <c r="AM161" s="60"/>
      <c r="AN161" s="60"/>
      <c r="AO161" s="60"/>
    </row>
    <row r="162" spans="3:41" x14ac:dyDescent="0.45"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L162" s="60"/>
      <c r="AM162" s="60"/>
      <c r="AN162" s="60"/>
      <c r="AO162" s="60"/>
    </row>
    <row r="163" spans="3:41" x14ac:dyDescent="0.45"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L163" s="60"/>
      <c r="AM163" s="60"/>
      <c r="AN163" s="60"/>
      <c r="AO163" s="60"/>
    </row>
    <row r="164" spans="3:41" x14ac:dyDescent="0.45"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L164" s="60"/>
      <c r="AM164" s="60"/>
      <c r="AN164" s="60"/>
      <c r="AO164" s="60"/>
    </row>
    <row r="165" spans="3:41" x14ac:dyDescent="0.45"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L165" s="60"/>
      <c r="AM165" s="60"/>
      <c r="AN165" s="60"/>
      <c r="AO165" s="60"/>
    </row>
    <row r="166" spans="3:41" x14ac:dyDescent="0.45"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L166" s="60"/>
      <c r="AM166" s="60"/>
      <c r="AN166" s="60"/>
      <c r="AO166" s="60"/>
    </row>
    <row r="167" spans="3:41" x14ac:dyDescent="0.45"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L167" s="60"/>
      <c r="AM167" s="60"/>
      <c r="AN167" s="60"/>
      <c r="AO167" s="60"/>
    </row>
    <row r="168" spans="3:41" x14ac:dyDescent="0.45"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L168" s="60"/>
      <c r="AM168" s="60"/>
      <c r="AN168" s="60"/>
      <c r="AO168" s="60"/>
    </row>
    <row r="169" spans="3:41" x14ac:dyDescent="0.45"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L169" s="60"/>
      <c r="AM169" s="60"/>
      <c r="AN169" s="60"/>
      <c r="AO169" s="60"/>
    </row>
    <row r="170" spans="3:41" x14ac:dyDescent="0.45"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L170" s="60"/>
      <c r="AM170" s="60"/>
      <c r="AN170" s="60"/>
      <c r="AO170" s="60"/>
    </row>
    <row r="171" spans="3:41" x14ac:dyDescent="0.45"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L171" s="60"/>
      <c r="AM171" s="60"/>
      <c r="AN171" s="60"/>
      <c r="AO171" s="60"/>
    </row>
    <row r="172" spans="3:41" x14ac:dyDescent="0.45"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L172" s="60"/>
      <c r="AM172" s="60"/>
      <c r="AN172" s="60"/>
      <c r="AO172" s="60"/>
    </row>
    <row r="173" spans="3:41" x14ac:dyDescent="0.45"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L173" s="60"/>
      <c r="AM173" s="60"/>
      <c r="AN173" s="60"/>
      <c r="AO173" s="60"/>
    </row>
    <row r="174" spans="3:41" x14ac:dyDescent="0.45"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L174" s="60"/>
      <c r="AM174" s="60"/>
      <c r="AN174" s="60"/>
      <c r="AO174" s="60"/>
    </row>
    <row r="175" spans="3:41" x14ac:dyDescent="0.45"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L175" s="60"/>
      <c r="AM175" s="60"/>
      <c r="AN175" s="60"/>
      <c r="AO175" s="60"/>
    </row>
    <row r="176" spans="3:41" x14ac:dyDescent="0.45"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L176" s="60"/>
      <c r="AM176" s="60"/>
      <c r="AN176" s="60"/>
      <c r="AO176" s="60"/>
    </row>
    <row r="177" spans="3:41" x14ac:dyDescent="0.45"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L177" s="60"/>
      <c r="AM177" s="60"/>
      <c r="AN177" s="60"/>
      <c r="AO177" s="60"/>
    </row>
    <row r="178" spans="3:41" x14ac:dyDescent="0.45"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L178" s="60"/>
      <c r="AM178" s="60"/>
      <c r="AN178" s="60"/>
      <c r="AO178" s="60"/>
    </row>
    <row r="179" spans="3:41" x14ac:dyDescent="0.45"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L179" s="60"/>
      <c r="AM179" s="60"/>
      <c r="AN179" s="60"/>
      <c r="AO179" s="60"/>
    </row>
    <row r="180" spans="3:41" x14ac:dyDescent="0.45"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L180" s="60"/>
      <c r="AM180" s="60"/>
      <c r="AN180" s="60"/>
      <c r="AO180" s="60"/>
    </row>
    <row r="181" spans="3:41" x14ac:dyDescent="0.45"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L181" s="60"/>
      <c r="AM181" s="60"/>
      <c r="AN181" s="60"/>
      <c r="AO181" s="60"/>
    </row>
    <row r="182" spans="3:41" x14ac:dyDescent="0.45"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L182" s="60"/>
      <c r="AM182" s="60"/>
      <c r="AN182" s="60"/>
      <c r="AO182" s="60"/>
    </row>
    <row r="183" spans="3:41" x14ac:dyDescent="0.45"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L183" s="60"/>
      <c r="AM183" s="60"/>
      <c r="AN183" s="60"/>
      <c r="AO183" s="60"/>
    </row>
    <row r="184" spans="3:41" x14ac:dyDescent="0.45"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L184" s="60"/>
      <c r="AM184" s="60"/>
      <c r="AN184" s="60"/>
      <c r="AO184" s="60"/>
    </row>
    <row r="185" spans="3:41" x14ac:dyDescent="0.45"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L185" s="60"/>
      <c r="AM185" s="60"/>
      <c r="AN185" s="60"/>
      <c r="AO185" s="60"/>
    </row>
    <row r="186" spans="3:41" x14ac:dyDescent="0.45"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L186" s="60"/>
      <c r="AM186" s="60"/>
      <c r="AN186" s="60"/>
      <c r="AO186" s="60"/>
    </row>
    <row r="187" spans="3:41" x14ac:dyDescent="0.45"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L187" s="60"/>
      <c r="AM187" s="60"/>
      <c r="AN187" s="60"/>
      <c r="AO187" s="60"/>
    </row>
    <row r="188" spans="3:41" x14ac:dyDescent="0.45"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L188" s="60"/>
      <c r="AM188" s="60"/>
      <c r="AN188" s="60"/>
      <c r="AO188" s="60"/>
    </row>
    <row r="189" spans="3:41" x14ac:dyDescent="0.45"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L189" s="60"/>
      <c r="AM189" s="60"/>
      <c r="AN189" s="60"/>
      <c r="AO189" s="60"/>
    </row>
    <row r="190" spans="3:41" x14ac:dyDescent="0.45"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L190" s="60"/>
      <c r="AM190" s="60"/>
      <c r="AN190" s="60"/>
      <c r="AO190" s="60"/>
    </row>
    <row r="191" spans="3:41" x14ac:dyDescent="0.45"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L191" s="60"/>
      <c r="AM191" s="60"/>
      <c r="AN191" s="60"/>
      <c r="AO191" s="60"/>
    </row>
    <row r="192" spans="3:41" x14ac:dyDescent="0.45"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L192" s="60"/>
      <c r="AM192" s="60"/>
      <c r="AN192" s="60"/>
      <c r="AO192" s="60"/>
    </row>
    <row r="193" spans="3:41" x14ac:dyDescent="0.45"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L193" s="60"/>
      <c r="AM193" s="60"/>
      <c r="AN193" s="60"/>
      <c r="AO193" s="60"/>
    </row>
    <row r="194" spans="3:41" x14ac:dyDescent="0.45"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L194" s="60"/>
      <c r="AM194" s="60"/>
      <c r="AN194" s="60"/>
      <c r="AO194" s="60"/>
    </row>
    <row r="195" spans="3:41" x14ac:dyDescent="0.45"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L195" s="60"/>
      <c r="AM195" s="60"/>
      <c r="AN195" s="60"/>
      <c r="AO195" s="60"/>
    </row>
    <row r="196" spans="3:41" x14ac:dyDescent="0.45"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L196" s="60"/>
      <c r="AM196" s="60"/>
      <c r="AN196" s="60"/>
      <c r="AO196" s="60"/>
    </row>
    <row r="197" spans="3:41" x14ac:dyDescent="0.45"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L197" s="60"/>
      <c r="AM197" s="60"/>
      <c r="AN197" s="60"/>
      <c r="AO197" s="60"/>
    </row>
    <row r="198" spans="3:41" x14ac:dyDescent="0.45"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L198" s="60"/>
      <c r="AM198" s="60"/>
      <c r="AN198" s="60"/>
      <c r="AO198" s="60"/>
    </row>
    <row r="199" spans="3:41" x14ac:dyDescent="0.45"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L199" s="60"/>
      <c r="AM199" s="60"/>
      <c r="AN199" s="60"/>
      <c r="AO199" s="60"/>
    </row>
    <row r="200" spans="3:41" x14ac:dyDescent="0.45"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L200" s="60"/>
      <c r="AM200" s="60"/>
      <c r="AN200" s="60"/>
      <c r="AO200" s="60"/>
    </row>
    <row r="201" spans="3:41" x14ac:dyDescent="0.45"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L201" s="60"/>
      <c r="AM201" s="60"/>
      <c r="AN201" s="60"/>
      <c r="AO201" s="60"/>
    </row>
    <row r="202" spans="3:41" x14ac:dyDescent="0.45"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L202" s="60"/>
      <c r="AM202" s="60"/>
      <c r="AN202" s="60"/>
      <c r="AO202" s="60"/>
    </row>
    <row r="203" spans="3:41" x14ac:dyDescent="0.45"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L203" s="60"/>
      <c r="AM203" s="60"/>
      <c r="AN203" s="60"/>
      <c r="AO203" s="60"/>
    </row>
    <row r="204" spans="3:41" x14ac:dyDescent="0.45"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L204" s="60"/>
      <c r="AM204" s="60"/>
      <c r="AN204" s="60"/>
      <c r="AO204" s="60"/>
    </row>
    <row r="205" spans="3:41" x14ac:dyDescent="0.45"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L205" s="60"/>
      <c r="AM205" s="60"/>
      <c r="AN205" s="60"/>
      <c r="AO205" s="60"/>
    </row>
    <row r="206" spans="3:41" x14ac:dyDescent="0.45"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L206" s="60"/>
      <c r="AM206" s="60"/>
      <c r="AN206" s="60"/>
      <c r="AO206" s="60"/>
    </row>
    <row r="207" spans="3:41" x14ac:dyDescent="0.45"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L207" s="60"/>
      <c r="AM207" s="60"/>
      <c r="AN207" s="60"/>
      <c r="AO207" s="60"/>
    </row>
    <row r="208" spans="3:41" x14ac:dyDescent="0.45"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L208" s="60"/>
      <c r="AM208" s="60"/>
      <c r="AN208" s="60"/>
      <c r="AO208" s="60"/>
    </row>
    <row r="209" spans="3:41" x14ac:dyDescent="0.45"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L209" s="60"/>
      <c r="AM209" s="60"/>
      <c r="AN209" s="60"/>
      <c r="AO209" s="60"/>
    </row>
    <row r="210" spans="3:41" x14ac:dyDescent="0.45"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L210" s="60"/>
      <c r="AM210" s="60"/>
      <c r="AN210" s="60"/>
      <c r="AO210" s="60"/>
    </row>
    <row r="211" spans="3:41" x14ac:dyDescent="0.45"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L211" s="60"/>
      <c r="AM211" s="60"/>
      <c r="AN211" s="60"/>
      <c r="AO211" s="60"/>
    </row>
    <row r="212" spans="3:41" x14ac:dyDescent="0.45"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L212" s="60"/>
      <c r="AM212" s="60"/>
      <c r="AN212" s="60"/>
      <c r="AO212" s="60"/>
    </row>
    <row r="213" spans="3:41" x14ac:dyDescent="0.45"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L213" s="60"/>
      <c r="AM213" s="60"/>
      <c r="AN213" s="60"/>
      <c r="AO213" s="60"/>
    </row>
    <row r="214" spans="3:41" x14ac:dyDescent="0.45"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L214" s="60"/>
      <c r="AM214" s="60"/>
      <c r="AN214" s="60"/>
      <c r="AO214" s="60"/>
    </row>
    <row r="215" spans="3:41" x14ac:dyDescent="0.45"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L215" s="60"/>
      <c r="AM215" s="60"/>
      <c r="AN215" s="60"/>
      <c r="AO215" s="60"/>
    </row>
    <row r="216" spans="3:41" x14ac:dyDescent="0.45"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L216" s="60"/>
      <c r="AM216" s="60"/>
      <c r="AN216" s="60"/>
      <c r="AO216" s="60"/>
    </row>
    <row r="217" spans="3:41" x14ac:dyDescent="0.45"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L217" s="60"/>
      <c r="AM217" s="60"/>
      <c r="AN217" s="60"/>
      <c r="AO217" s="60"/>
    </row>
    <row r="218" spans="3:41" x14ac:dyDescent="0.45"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L218" s="60"/>
      <c r="AM218" s="60"/>
      <c r="AN218" s="60"/>
      <c r="AO218" s="60"/>
    </row>
    <row r="219" spans="3:41" x14ac:dyDescent="0.45"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L219" s="60"/>
      <c r="AM219" s="60"/>
      <c r="AN219" s="60"/>
      <c r="AO219" s="60"/>
    </row>
    <row r="220" spans="3:41" x14ac:dyDescent="0.45"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L220" s="60"/>
      <c r="AM220" s="60"/>
      <c r="AN220" s="60"/>
      <c r="AO220" s="60"/>
    </row>
    <row r="221" spans="3:41" x14ac:dyDescent="0.45"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L221" s="60"/>
      <c r="AM221" s="60"/>
      <c r="AN221" s="60"/>
      <c r="AO221" s="60"/>
    </row>
    <row r="222" spans="3:41" x14ac:dyDescent="0.45"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L222" s="60"/>
      <c r="AM222" s="60"/>
      <c r="AN222" s="60"/>
      <c r="AO222" s="60"/>
    </row>
    <row r="223" spans="3:41" x14ac:dyDescent="0.45"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L223" s="60"/>
      <c r="AM223" s="60"/>
      <c r="AN223" s="60"/>
      <c r="AO223" s="60"/>
    </row>
    <row r="224" spans="3:41" x14ac:dyDescent="0.45"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L224" s="60"/>
      <c r="AM224" s="60"/>
      <c r="AN224" s="60"/>
      <c r="AO224" s="60"/>
    </row>
    <row r="225" spans="3:41" x14ac:dyDescent="0.45"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L225" s="60"/>
      <c r="AM225" s="60"/>
      <c r="AN225" s="60"/>
      <c r="AO225" s="60"/>
    </row>
    <row r="226" spans="3:41" x14ac:dyDescent="0.45"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L226" s="60"/>
      <c r="AM226" s="60"/>
      <c r="AN226" s="60"/>
      <c r="AO226" s="60"/>
    </row>
    <row r="227" spans="3:41" x14ac:dyDescent="0.45"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L227" s="60"/>
      <c r="AM227" s="60"/>
      <c r="AN227" s="60"/>
      <c r="AO227" s="60"/>
    </row>
    <row r="228" spans="3:41" x14ac:dyDescent="0.45"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L228" s="60"/>
      <c r="AM228" s="60"/>
      <c r="AN228" s="60"/>
      <c r="AO228" s="60"/>
    </row>
    <row r="229" spans="3:41" x14ac:dyDescent="0.45"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L229" s="60"/>
      <c r="AM229" s="60"/>
      <c r="AN229" s="60"/>
      <c r="AO229" s="60"/>
    </row>
    <row r="230" spans="3:41" x14ac:dyDescent="0.45"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L230" s="60"/>
      <c r="AM230" s="60"/>
      <c r="AN230" s="60"/>
      <c r="AO230" s="60"/>
    </row>
    <row r="231" spans="3:41" x14ac:dyDescent="0.45"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L231" s="60"/>
      <c r="AM231" s="60"/>
      <c r="AN231" s="60"/>
      <c r="AO231" s="60"/>
    </row>
    <row r="232" spans="3:41" x14ac:dyDescent="0.45"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L232" s="60"/>
      <c r="AM232" s="60"/>
      <c r="AN232" s="60"/>
      <c r="AO232" s="60"/>
    </row>
    <row r="233" spans="3:41" x14ac:dyDescent="0.45"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L233" s="60"/>
      <c r="AM233" s="60"/>
      <c r="AN233" s="60"/>
      <c r="AO233" s="60"/>
    </row>
    <row r="234" spans="3:41" x14ac:dyDescent="0.45"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L234" s="60"/>
      <c r="AM234" s="60"/>
      <c r="AN234" s="60"/>
      <c r="AO234" s="60"/>
    </row>
    <row r="235" spans="3:41" x14ac:dyDescent="0.45"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L235" s="60"/>
      <c r="AM235" s="60"/>
      <c r="AN235" s="60"/>
      <c r="AO235" s="60"/>
    </row>
    <row r="236" spans="3:41" x14ac:dyDescent="0.45"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L236" s="60"/>
      <c r="AM236" s="60"/>
      <c r="AN236" s="60"/>
      <c r="AO236" s="60"/>
    </row>
    <row r="237" spans="3:41" x14ac:dyDescent="0.45"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L237" s="60"/>
      <c r="AM237" s="60"/>
      <c r="AN237" s="60"/>
      <c r="AO237" s="60"/>
    </row>
    <row r="238" spans="3:41" x14ac:dyDescent="0.45"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L238" s="60"/>
      <c r="AM238" s="60"/>
      <c r="AN238" s="60"/>
      <c r="AO238" s="60"/>
    </row>
    <row r="239" spans="3:41" x14ac:dyDescent="0.45"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L239" s="60"/>
      <c r="AM239" s="60"/>
      <c r="AN239" s="60"/>
      <c r="AO239" s="60"/>
    </row>
    <row r="240" spans="3:41" x14ac:dyDescent="0.45"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L240" s="60"/>
      <c r="AM240" s="60"/>
      <c r="AN240" s="60"/>
      <c r="AO240" s="60"/>
    </row>
    <row r="241" spans="3:41" x14ac:dyDescent="0.45"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L241" s="60"/>
      <c r="AM241" s="60"/>
      <c r="AN241" s="60"/>
      <c r="AO241" s="60"/>
    </row>
    <row r="242" spans="3:41" x14ac:dyDescent="0.45"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L242" s="60"/>
      <c r="AM242" s="60"/>
      <c r="AN242" s="60"/>
      <c r="AO242" s="60"/>
    </row>
    <row r="243" spans="3:41" x14ac:dyDescent="0.45"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L243" s="60"/>
      <c r="AM243" s="60"/>
      <c r="AN243" s="60"/>
      <c r="AO243" s="60"/>
    </row>
    <row r="244" spans="3:41" x14ac:dyDescent="0.45"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L244" s="60"/>
      <c r="AM244" s="60"/>
      <c r="AN244" s="60"/>
      <c r="AO244" s="60"/>
    </row>
    <row r="245" spans="3:41" x14ac:dyDescent="0.45"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L245" s="60"/>
      <c r="AM245" s="60"/>
      <c r="AN245" s="60"/>
      <c r="AO245" s="60"/>
    </row>
    <row r="246" spans="3:41" x14ac:dyDescent="0.45"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L246" s="60"/>
      <c r="AM246" s="60"/>
      <c r="AN246" s="60"/>
      <c r="AO246" s="60"/>
    </row>
    <row r="247" spans="3:41" x14ac:dyDescent="0.45"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L247" s="60"/>
      <c r="AM247" s="60"/>
      <c r="AN247" s="60"/>
      <c r="AO247" s="60"/>
    </row>
    <row r="248" spans="3:41" x14ac:dyDescent="0.45"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L248" s="60"/>
      <c r="AM248" s="60"/>
      <c r="AN248" s="60"/>
      <c r="AO248" s="60"/>
    </row>
    <row r="249" spans="3:41" x14ac:dyDescent="0.45"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L249" s="60"/>
      <c r="AM249" s="60"/>
      <c r="AN249" s="60"/>
      <c r="AO249" s="60"/>
    </row>
    <row r="250" spans="3:41" x14ac:dyDescent="0.45"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L250" s="60"/>
      <c r="AM250" s="60"/>
      <c r="AN250" s="60"/>
      <c r="AO250" s="60"/>
    </row>
    <row r="251" spans="3:41" x14ac:dyDescent="0.45"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L251" s="60"/>
      <c r="AM251" s="60"/>
      <c r="AN251" s="60"/>
      <c r="AO251" s="60"/>
    </row>
    <row r="252" spans="3:41" x14ac:dyDescent="0.45"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L252" s="60"/>
      <c r="AM252" s="60"/>
      <c r="AN252" s="60"/>
      <c r="AO252" s="60"/>
    </row>
    <row r="253" spans="3:41" x14ac:dyDescent="0.45"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L253" s="60"/>
      <c r="AM253" s="60"/>
      <c r="AN253" s="60"/>
      <c r="AO253" s="60"/>
    </row>
    <row r="254" spans="3:41" x14ac:dyDescent="0.45"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L254" s="60"/>
      <c r="AM254" s="60"/>
      <c r="AN254" s="60"/>
      <c r="AO254" s="60"/>
    </row>
    <row r="255" spans="3:41" x14ac:dyDescent="0.45"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L255" s="60"/>
      <c r="AM255" s="60"/>
      <c r="AN255" s="60"/>
      <c r="AO255" s="60"/>
    </row>
    <row r="256" spans="3:41" x14ac:dyDescent="0.45"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L256" s="60"/>
      <c r="AM256" s="60"/>
      <c r="AN256" s="60"/>
      <c r="AO256" s="60"/>
    </row>
    <row r="257" spans="3:41" x14ac:dyDescent="0.45"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L257" s="60"/>
      <c r="AM257" s="60"/>
      <c r="AN257" s="60"/>
      <c r="AO257" s="60"/>
    </row>
    <row r="258" spans="3:41" x14ac:dyDescent="0.45"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L258" s="60"/>
      <c r="AM258" s="60"/>
      <c r="AN258" s="60"/>
      <c r="AO258" s="60"/>
    </row>
    <row r="259" spans="3:41" x14ac:dyDescent="0.45"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L259" s="60"/>
      <c r="AM259" s="60"/>
      <c r="AN259" s="60"/>
      <c r="AO259" s="60"/>
    </row>
    <row r="260" spans="3:41" x14ac:dyDescent="0.45"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L260" s="60"/>
      <c r="AM260" s="60"/>
      <c r="AN260" s="60"/>
      <c r="AO260" s="60"/>
    </row>
    <row r="261" spans="3:41" x14ac:dyDescent="0.45"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L261" s="60"/>
      <c r="AM261" s="60"/>
      <c r="AN261" s="60"/>
      <c r="AO261" s="60"/>
    </row>
    <row r="262" spans="3:41" x14ac:dyDescent="0.45"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L262" s="60"/>
      <c r="AM262" s="60"/>
      <c r="AN262" s="60"/>
      <c r="AO262" s="60"/>
    </row>
    <row r="263" spans="3:41" x14ac:dyDescent="0.45"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L263" s="60"/>
      <c r="AM263" s="60"/>
      <c r="AN263" s="60"/>
      <c r="AO263" s="60"/>
    </row>
    <row r="264" spans="3:41" x14ac:dyDescent="0.45"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L264" s="60"/>
      <c r="AM264" s="60"/>
      <c r="AN264" s="60"/>
      <c r="AO264" s="60"/>
    </row>
    <row r="265" spans="3:41" x14ac:dyDescent="0.45"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L265" s="60"/>
      <c r="AM265" s="60"/>
      <c r="AN265" s="60"/>
      <c r="AO265" s="60"/>
    </row>
    <row r="266" spans="3:41" x14ac:dyDescent="0.45"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L266" s="60"/>
      <c r="AM266" s="60"/>
      <c r="AN266" s="60"/>
      <c r="AO266" s="60"/>
    </row>
    <row r="267" spans="3:41" x14ac:dyDescent="0.45"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L267" s="60"/>
      <c r="AM267" s="60"/>
      <c r="AN267" s="60"/>
      <c r="AO267" s="60"/>
    </row>
    <row r="268" spans="3:41" x14ac:dyDescent="0.45"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L268" s="60"/>
      <c r="AM268" s="60"/>
      <c r="AN268" s="60"/>
      <c r="AO268" s="60"/>
    </row>
    <row r="269" spans="3:41" x14ac:dyDescent="0.45"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L269" s="60"/>
      <c r="AM269" s="60"/>
      <c r="AN269" s="60"/>
      <c r="AO269" s="60"/>
    </row>
    <row r="270" spans="3:41" x14ac:dyDescent="0.45"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L270" s="60"/>
      <c r="AM270" s="60"/>
      <c r="AN270" s="60"/>
      <c r="AO270" s="60"/>
    </row>
    <row r="271" spans="3:41" x14ac:dyDescent="0.45"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L271" s="60"/>
      <c r="AM271" s="60"/>
      <c r="AN271" s="60"/>
      <c r="AO271" s="60"/>
    </row>
    <row r="272" spans="3:41" x14ac:dyDescent="0.45"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L272" s="60"/>
      <c r="AM272" s="60"/>
      <c r="AN272" s="60"/>
      <c r="AO272" s="60"/>
    </row>
    <row r="273" spans="3:41" x14ac:dyDescent="0.45"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L273" s="60"/>
      <c r="AM273" s="60"/>
      <c r="AN273" s="60"/>
      <c r="AO273" s="60"/>
    </row>
    <row r="274" spans="3:41" x14ac:dyDescent="0.45"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L274" s="60"/>
      <c r="AM274" s="60"/>
      <c r="AN274" s="60"/>
      <c r="AO274" s="60"/>
    </row>
    <row r="275" spans="3:41" x14ac:dyDescent="0.45"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L275" s="60"/>
      <c r="AM275" s="60"/>
      <c r="AN275" s="60"/>
      <c r="AO275" s="60"/>
    </row>
    <row r="276" spans="3:41" x14ac:dyDescent="0.45"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L276" s="60"/>
      <c r="AM276" s="60"/>
      <c r="AN276" s="60"/>
      <c r="AO276" s="60"/>
    </row>
    <row r="277" spans="3:41" x14ac:dyDescent="0.45"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L277" s="60"/>
      <c r="AM277" s="60"/>
      <c r="AN277" s="60"/>
      <c r="AO277" s="60"/>
    </row>
    <row r="278" spans="3:41" x14ac:dyDescent="0.45"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L278" s="60"/>
      <c r="AM278" s="60"/>
      <c r="AN278" s="60"/>
      <c r="AO278" s="60"/>
    </row>
    <row r="279" spans="3:41" x14ac:dyDescent="0.45"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L279" s="60"/>
      <c r="AM279" s="60"/>
      <c r="AN279" s="60"/>
      <c r="AO279" s="60"/>
    </row>
    <row r="280" spans="3:41" x14ac:dyDescent="0.45"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L280" s="60"/>
      <c r="AM280" s="60"/>
      <c r="AN280" s="60"/>
      <c r="AO280" s="60"/>
    </row>
    <row r="281" spans="3:41" x14ac:dyDescent="0.45"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L281" s="60"/>
      <c r="AM281" s="60"/>
      <c r="AN281" s="60"/>
      <c r="AO281" s="60"/>
    </row>
    <row r="282" spans="3:41" x14ac:dyDescent="0.45"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L282" s="60"/>
      <c r="AM282" s="60"/>
      <c r="AN282" s="60"/>
      <c r="AO282" s="60"/>
    </row>
    <row r="283" spans="3:41" x14ac:dyDescent="0.45"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L283" s="60"/>
      <c r="AM283" s="60"/>
      <c r="AN283" s="60"/>
      <c r="AO283" s="60"/>
    </row>
    <row r="284" spans="3:41" x14ac:dyDescent="0.45"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L284" s="60"/>
      <c r="AM284" s="60"/>
      <c r="AN284" s="60"/>
      <c r="AO284" s="60"/>
    </row>
    <row r="285" spans="3:41" x14ac:dyDescent="0.45"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L285" s="60"/>
      <c r="AM285" s="60"/>
      <c r="AN285" s="60"/>
      <c r="AO285" s="60"/>
    </row>
    <row r="286" spans="3:41" x14ac:dyDescent="0.45"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L286" s="60"/>
      <c r="AM286" s="60"/>
      <c r="AN286" s="60"/>
      <c r="AO286" s="60"/>
    </row>
    <row r="287" spans="3:41" x14ac:dyDescent="0.45"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L287" s="60"/>
      <c r="AM287" s="60"/>
      <c r="AN287" s="60"/>
      <c r="AO287" s="60"/>
    </row>
    <row r="288" spans="3:41" x14ac:dyDescent="0.45"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L288" s="60"/>
      <c r="AM288" s="60"/>
      <c r="AN288" s="60"/>
      <c r="AO288" s="60"/>
    </row>
    <row r="289" spans="3:41" x14ac:dyDescent="0.45"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L289" s="60"/>
      <c r="AM289" s="60"/>
      <c r="AN289" s="60"/>
      <c r="AO289" s="60"/>
    </row>
    <row r="290" spans="3:41" x14ac:dyDescent="0.45"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L290" s="60"/>
      <c r="AM290" s="60"/>
      <c r="AN290" s="60"/>
      <c r="AO290" s="60"/>
    </row>
    <row r="291" spans="3:41" x14ac:dyDescent="0.45"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L291" s="60"/>
      <c r="AM291" s="60"/>
      <c r="AN291" s="60"/>
      <c r="AO291" s="60"/>
    </row>
    <row r="292" spans="3:41" x14ac:dyDescent="0.45"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L292" s="60"/>
      <c r="AM292" s="60"/>
      <c r="AN292" s="60"/>
      <c r="AO292" s="60"/>
    </row>
    <row r="293" spans="3:41" x14ac:dyDescent="0.45"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L293" s="60"/>
      <c r="AM293" s="60"/>
      <c r="AN293" s="60"/>
      <c r="AO293" s="60"/>
    </row>
    <row r="294" spans="3:41" x14ac:dyDescent="0.45"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L294" s="60"/>
      <c r="AM294" s="60"/>
      <c r="AN294" s="60"/>
      <c r="AO294" s="60"/>
    </row>
    <row r="295" spans="3:41" x14ac:dyDescent="0.45"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L295" s="60"/>
      <c r="AM295" s="60"/>
      <c r="AN295" s="60"/>
      <c r="AO295" s="60"/>
    </row>
    <row r="296" spans="3:41" x14ac:dyDescent="0.45"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L296" s="60"/>
      <c r="AM296" s="60"/>
      <c r="AN296" s="60"/>
      <c r="AO296" s="60"/>
    </row>
    <row r="297" spans="3:41" x14ac:dyDescent="0.45"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L297" s="60"/>
      <c r="AM297" s="60"/>
      <c r="AN297" s="60"/>
      <c r="AO297" s="60"/>
    </row>
    <row r="298" spans="3:41" x14ac:dyDescent="0.45"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L298" s="60"/>
      <c r="AM298" s="60"/>
      <c r="AN298" s="60"/>
      <c r="AO298" s="60"/>
    </row>
    <row r="299" spans="3:41" x14ac:dyDescent="0.45"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L299" s="60"/>
      <c r="AM299" s="60"/>
      <c r="AN299" s="60"/>
      <c r="AO299" s="60"/>
    </row>
    <row r="300" spans="3:41" x14ac:dyDescent="0.45"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L300" s="60"/>
      <c r="AM300" s="60"/>
      <c r="AN300" s="60"/>
      <c r="AO300" s="60"/>
    </row>
    <row r="301" spans="3:41" x14ac:dyDescent="0.45"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L301" s="60"/>
      <c r="AM301" s="60"/>
      <c r="AN301" s="60"/>
      <c r="AO301" s="60"/>
    </row>
    <row r="302" spans="3:41" x14ac:dyDescent="0.45"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L302" s="60"/>
      <c r="AM302" s="60"/>
      <c r="AN302" s="60"/>
      <c r="AO302" s="60"/>
    </row>
    <row r="303" spans="3:41" x14ac:dyDescent="0.45"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L303" s="60"/>
      <c r="AM303" s="60"/>
      <c r="AN303" s="60"/>
      <c r="AO303" s="60"/>
    </row>
    <row r="304" spans="3:41" x14ac:dyDescent="0.45"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L304" s="60"/>
      <c r="AM304" s="60"/>
      <c r="AN304" s="60"/>
      <c r="AO304" s="60"/>
    </row>
    <row r="305" spans="3:41" x14ac:dyDescent="0.45"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L305" s="60"/>
      <c r="AM305" s="60"/>
      <c r="AN305" s="60"/>
      <c r="AO305" s="60"/>
    </row>
    <row r="306" spans="3:41" x14ac:dyDescent="0.45"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L306" s="60"/>
      <c r="AM306" s="60"/>
      <c r="AN306" s="60"/>
      <c r="AO306" s="60"/>
    </row>
    <row r="307" spans="3:41" x14ac:dyDescent="0.45"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L307" s="60"/>
      <c r="AM307" s="60"/>
      <c r="AN307" s="60"/>
      <c r="AO307" s="6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">
                <anchor moveWithCells="1" sizeWithCells="1">
                  <from>
                    <xdr:col>43</xdr:col>
                    <xdr:colOff>600075</xdr:colOff>
                    <xdr:row>2</xdr:row>
                    <xdr:rowOff>9525</xdr:rowOff>
                  </from>
                  <to>
                    <xdr:col>44</xdr:col>
                    <xdr:colOff>366713</xdr:colOff>
                    <xdr:row>92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sv">
                <anchor moveWithCells="1" sizeWithCells="1">
                  <from>
                    <xdr:col>44</xdr:col>
                    <xdr:colOff>590550</xdr:colOff>
                    <xdr:row>1</xdr:row>
                    <xdr:rowOff>180975</xdr:rowOff>
                  </from>
                  <to>
                    <xdr:col>46</xdr:col>
                    <xdr:colOff>457200</xdr:colOff>
                    <xdr:row>91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weatherScenesV2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Barron</dc:creator>
  <cp:lastModifiedBy>TRb</cp:lastModifiedBy>
  <dcterms:created xsi:type="dcterms:W3CDTF">2016-11-14T19:33:53Z</dcterms:created>
  <dcterms:modified xsi:type="dcterms:W3CDTF">2019-07-21T22:58:38Z</dcterms:modified>
</cp:coreProperties>
</file>